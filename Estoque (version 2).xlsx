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war\Documents\freelancer\"/>
    </mc:Choice>
  </mc:AlternateContent>
  <xr:revisionPtr revIDLastSave="0" documentId="13_ncr:1_{5B4980F6-3299-44A7-AB18-56C0FA2FAD7B}" xr6:coauthVersionLast="47" xr6:coauthVersionMax="47" xr10:uidLastSave="{00000000-0000-0000-0000-000000000000}"/>
  <bookViews>
    <workbookView xWindow="-120" yWindow="-120" windowWidth="29040" windowHeight="15720" xr2:uid="{254F948B-CE91-4A4A-9453-8D22A07A37CC}"/>
  </bookViews>
  <sheets>
    <sheet name="Base" sheetId="1" r:id="rId1"/>
    <sheet name="DADOS CATEGORIAS" sheetId="5" r:id="rId2"/>
    <sheet name="DASHBOAR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 a="1"/>
  <c r="F7" i="4" s="1"/>
  <c r="A7" i="4" a="1"/>
  <c r="A7" i="4" s="1"/>
  <c r="C7" i="4" a="1"/>
  <c r="C7" i="4" s="1"/>
  <c r="I2" i="4"/>
  <c r="F2" i="4"/>
  <c r="C5" i="5"/>
  <c r="F5" i="5" s="1"/>
  <c r="E5" i="5" a="1"/>
  <c r="E5" i="5" s="1"/>
  <c r="C4" i="5"/>
  <c r="F4" i="5" s="1"/>
  <c r="E4" i="5" a="1"/>
  <c r="E4" i="5" s="1"/>
  <c r="C3" i="5"/>
  <c r="F3" i="5" s="1"/>
  <c r="E3" i="5" a="1"/>
  <c r="E3" i="5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E2" i="5" a="1"/>
  <c r="E2" i="5" s="1"/>
  <c r="C2" i="5"/>
  <c r="F2" i="5" s="1"/>
  <c r="I7" i="4" l="1" a="1"/>
  <c r="I7" i="4" s="1"/>
  <c r="A2" i="4"/>
  <c r="B5" i="5"/>
  <c r="B3" i="5"/>
  <c r="B4" i="5"/>
  <c r="B2" i="5"/>
  <c r="G2" i="5" s="1"/>
  <c r="G3" i="5" l="1"/>
  <c r="H3" i="5" s="1"/>
  <c r="D5" i="5"/>
  <c r="G5" i="5"/>
  <c r="H5" i="5" s="1"/>
  <c r="G4" i="5"/>
  <c r="H4" i="5" s="1"/>
  <c r="D4" i="5"/>
  <c r="D3" i="5"/>
  <c r="D2" i="5"/>
  <c r="H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<sst xmlns="http://schemas.openxmlformats.org/spreadsheetml/2006/main" count="592" uniqueCount="171">
  <si>
    <t>Data</t>
  </si>
  <si>
    <t>Produto</t>
  </si>
  <si>
    <t>Categoria</t>
  </si>
  <si>
    <t>Tipo</t>
  </si>
  <si>
    <t>QTD</t>
  </si>
  <si>
    <t>Valor Unit</t>
  </si>
  <si>
    <t>Sub-Total</t>
  </si>
  <si>
    <t>Valor do Estoque</t>
  </si>
  <si>
    <t>Valor médio por unidade</t>
  </si>
  <si>
    <t>Volume total</t>
  </si>
  <si>
    <t>Itens únicos</t>
  </si>
  <si>
    <t>Densidade de valor</t>
  </si>
  <si>
    <t>Valor total</t>
  </si>
  <si>
    <t>Participação em volume no estoque</t>
  </si>
  <si>
    <t>Participação em valor no estoque</t>
  </si>
  <si>
    <t>Estoque Mínimo</t>
  </si>
  <si>
    <t>Quantidade total de itens</t>
  </si>
  <si>
    <t>Itens diferentes no Estoque</t>
  </si>
  <si>
    <t>2026-02-21</t>
  </si>
  <si>
    <t>2026-02-25</t>
  </si>
  <si>
    <t>BacardiBigApple-rum</t>
  </si>
  <si>
    <t>BacardiLimón-run</t>
  </si>
  <si>
    <t>Barcardi_Oro-rum</t>
  </si>
  <si>
    <t>Caixa_de_Amistel-Cerveja</t>
  </si>
  <si>
    <t>Caixa_de_Brahma-Cerveja</t>
  </si>
  <si>
    <t>Caixa_de_Brahma_Dublo_Malte-Cerveja</t>
  </si>
  <si>
    <t>Caixa_de_Original</t>
  </si>
  <si>
    <t>Campari_Milano-Ervas</t>
  </si>
  <si>
    <t>Campo_Largo_Vermelho-Suave</t>
  </si>
  <si>
    <t>Contini-Coq</t>
  </si>
  <si>
    <t>Big_Rolha_Pacoca</t>
  </si>
  <si>
    <t>Dreher-Destilado</t>
  </si>
  <si>
    <t>Golf_Cacau-licor</t>
  </si>
  <si>
    <t>Golf_Menta-licor</t>
  </si>
  <si>
    <t>Fanta_laranja-Lata</t>
  </si>
  <si>
    <t>Geleia_de_Banana-Doce</t>
  </si>
  <si>
    <t>Geleia-doce</t>
  </si>
  <si>
    <t>Goma_Eucalipto-Doce</t>
  </si>
  <si>
    <t>Gp-Wisky</t>
  </si>
  <si>
    <t>Jamel-Destilado</t>
  </si>
  <si>
    <t>Jose_Cuervo-tequlaEspecial</t>
  </si>
  <si>
    <t>Jose_Cuervo-tequlaOuro</t>
  </si>
  <si>
    <t>Kislas-puras</t>
  </si>
  <si>
    <t>Leonoff-Vodika</t>
  </si>
  <si>
    <t>Mancao Maronba</t>
  </si>
  <si>
    <t>Mourisca-Rum</t>
  </si>
  <si>
    <t>natasha-Vodika</t>
  </si>
  <si>
    <t xml:space="preserve">Natu_Nobilis-Whisky </t>
  </si>
  <si>
    <t>OldEight_Goodwhisky</t>
  </si>
  <si>
    <t>OldEight-Whisky</t>
  </si>
  <si>
    <t>OldEight_Bluewhisky</t>
  </si>
  <si>
    <t>OldPar12_whisky</t>
  </si>
  <si>
    <t xml:space="preserve">Pé de moca </t>
  </si>
  <si>
    <t>Pé_de_Moleque-Doce</t>
  </si>
  <si>
    <t>Presidente-Cachaca</t>
  </si>
  <si>
    <t>Roots_Strauberry-Gin</t>
  </si>
  <si>
    <t>Roots_Watermedar-Gin</t>
  </si>
  <si>
    <t>BatidaAmenduin_Barkam-Coquitel</t>
  </si>
  <si>
    <t>BatidaCoco_Barkam-Coquitel</t>
  </si>
  <si>
    <t>EternityPassiorgruit-Vodika</t>
  </si>
  <si>
    <t>Skarloff_vodika</t>
  </si>
  <si>
    <t>Skyy-Vodk</t>
  </si>
  <si>
    <t>Intencion-Gin</t>
  </si>
  <si>
    <t>Smirnoff-Vodka</t>
  </si>
  <si>
    <t>Stok-Curaça-Blue-Licor</t>
  </si>
  <si>
    <t>Stok-CuraçarKiwi-Licor</t>
  </si>
  <si>
    <t>Stok-CuraçarRed-Licor</t>
  </si>
  <si>
    <t>São_bernado_Morango-Corote</t>
  </si>
  <si>
    <t>São_bernado_Maracuja-Corote</t>
  </si>
  <si>
    <t>São_bernado_Limão-Corote</t>
  </si>
  <si>
    <t>Champanhe_MoscatelRosé-Espumante</t>
  </si>
  <si>
    <t>Champanhe_Celebrante-Espumante</t>
  </si>
  <si>
    <t>BatidaAmenduin_Baianinha-Coquitel</t>
  </si>
  <si>
    <t>Corote_Morango-Corote</t>
  </si>
  <si>
    <t>Corote_Tutifrute-Corote</t>
  </si>
  <si>
    <t>Corote_derivado-Corote</t>
  </si>
  <si>
    <t>SalKim_Assado-Bolacha_Salagada</t>
  </si>
  <si>
    <t>SalKim_Churrasco-Bolacha_Salagada</t>
  </si>
  <si>
    <t>SalKim_Pizza-Bolacha_Salagada</t>
  </si>
  <si>
    <t>Bolacha_de_Chocolate-Doce</t>
  </si>
  <si>
    <t>Bolacha_de_Morango-Doce</t>
  </si>
  <si>
    <t>Bolacha_de_Balmilha-Doce</t>
  </si>
  <si>
    <t>Molho_de_Tomante-Molho</t>
  </si>
  <si>
    <t>Lamém_joia_Carne-Miojo</t>
  </si>
  <si>
    <t>Lamém_joia_Calinha-Miojo</t>
  </si>
  <si>
    <t>Copos_de_Cristal-Virdro</t>
  </si>
  <si>
    <t>Carvão_Chacale-Narguilé</t>
  </si>
  <si>
    <t>Carvão_CocoSupreme-Narguilé</t>
  </si>
  <si>
    <t>Torrone_Amendoim-Torrone</t>
  </si>
  <si>
    <t>Bolacha_Maria-Bolacha_Doce</t>
  </si>
  <si>
    <t>Pipoteca_Presunto-Chips</t>
  </si>
  <si>
    <t>Pipoteca_Pizza-Chips</t>
  </si>
  <si>
    <t>Pipoteca_Cebola-Chips</t>
  </si>
  <si>
    <t>Pipoteca_Metega-Chips</t>
  </si>
  <si>
    <t>Detergente_Ypé-Limpeza</t>
  </si>
  <si>
    <t>Bara_de_Sabão-Limpeza</t>
  </si>
  <si>
    <t>Amaciante_Boa-Amaciante</t>
  </si>
  <si>
    <t>QBoa-AguaSAnitaria</t>
  </si>
  <si>
    <t>Feijão_CaldoBom-Feijão</t>
  </si>
  <si>
    <t>Sal_Cruzeiro-Sal</t>
  </si>
  <si>
    <t>Rosquinhas_Bolacha</t>
  </si>
  <si>
    <t>Fine_Dentadura-Balas</t>
  </si>
  <si>
    <t>Fini_Minhocas-Balas</t>
  </si>
  <si>
    <t>Fini_Beijinhos-Balas</t>
  </si>
  <si>
    <t>Aperetivo_Girassol-Bolacha</t>
  </si>
  <si>
    <t>Time_Sabores-Chips</t>
  </si>
  <si>
    <t>Agua_15l-Agua</t>
  </si>
  <si>
    <t>Cine_Franbuesa-Refri</t>
  </si>
  <si>
    <t>Cine_Abacaxi-Refri</t>
  </si>
  <si>
    <t>Cine_Laranja-Refri</t>
  </si>
  <si>
    <t>Cine_Gurana-Refri</t>
  </si>
  <si>
    <t>Show_gurana-Refri</t>
  </si>
  <si>
    <t>Coca_Normal-Refri</t>
  </si>
  <si>
    <t>Coca_Zerro-Refri</t>
  </si>
  <si>
    <t>Sprite_2l-Refri</t>
  </si>
  <si>
    <t>Walesa-Vodk</t>
  </si>
  <si>
    <t>WhiteHorse-whisk</t>
  </si>
  <si>
    <t>TemTudo-coqui</t>
  </si>
  <si>
    <t>Catuaba_Selvagem-Ervas</t>
  </si>
  <si>
    <t>Bartenike_Steinhaeger-Coquitel</t>
  </si>
  <si>
    <t>Juru_Catu-Ervas</t>
  </si>
  <si>
    <t>Catuabom-Ervas</t>
  </si>
  <si>
    <t>Vinho_Pinheirense-Suave</t>
  </si>
  <si>
    <t>Vinho_7Colinas-Suave</t>
  </si>
  <si>
    <t>Vinho_delRei-Seco</t>
  </si>
  <si>
    <t>Vinho_Jurupinga-Suave</t>
  </si>
  <si>
    <t>Agua</t>
  </si>
  <si>
    <t>Corona-Cerveja</t>
  </si>
  <si>
    <t>Bad_log-Cerveja</t>
  </si>
  <si>
    <t>Heineken_log-Cerveja</t>
  </si>
  <si>
    <t>Sol_log-Cerveja</t>
  </si>
  <si>
    <t>Ice-Drink</t>
  </si>
  <si>
    <t>Cynar-ervas</t>
  </si>
  <si>
    <t>Asa_Blanca-ervas</t>
  </si>
  <si>
    <t>Rosberg-Ervas</t>
  </si>
  <si>
    <t>Carvão-Churrasco</t>
  </si>
  <si>
    <t>Ignite-Ecencias</t>
  </si>
  <si>
    <t>Aluminio-Narguile</t>
  </si>
  <si>
    <t>Cedas-Protudo</t>
  </si>
  <si>
    <t>Esqueiro</t>
  </si>
  <si>
    <t>Amenduin_Dori-Amenduas</t>
  </si>
  <si>
    <t>Geleia_Dori-Balas</t>
  </si>
  <si>
    <t>Gomas_Dori-Gomas</t>
  </si>
  <si>
    <t>Fines-bals</t>
  </si>
  <si>
    <t>Carolitos-Chips</t>
  </si>
  <si>
    <t>Moster-Energetico</t>
  </si>
  <si>
    <t>Baly_2L-Energetico</t>
  </si>
  <si>
    <t>Fanta_uva_lata-Refri</t>
  </si>
  <si>
    <t>Coca_lata-Refri</t>
  </si>
  <si>
    <t xml:space="preserve">Cigarro Winston </t>
  </si>
  <si>
    <t xml:space="preserve">Cigarro Carlton </t>
  </si>
  <si>
    <t>Cigarro Bleck</t>
  </si>
  <si>
    <t>Cigarro Lm</t>
  </si>
  <si>
    <t xml:space="preserve">Cigarro Malboro </t>
  </si>
  <si>
    <t>Sucos_Valley-uva</t>
  </si>
  <si>
    <t>Sucos_Valley-laranja 1l</t>
  </si>
  <si>
    <t>Achocolatado</t>
  </si>
  <si>
    <t xml:space="preserve">Sucos_Valley-uva lata </t>
  </si>
  <si>
    <t>Bebidas</t>
  </si>
  <si>
    <t>Comidas</t>
  </si>
  <si>
    <t>Limpeza</t>
  </si>
  <si>
    <t>Fumos</t>
  </si>
  <si>
    <t>Fardo</t>
  </si>
  <si>
    <t>Unid</t>
  </si>
  <si>
    <t>Crítico</t>
  </si>
  <si>
    <t>Moderado</t>
  </si>
  <si>
    <t>Status de Nível Estoque de Item</t>
  </si>
  <si>
    <t>Quantidade</t>
  </si>
  <si>
    <t>Itens com maior valor unitário</t>
  </si>
  <si>
    <t>itens com maior valor total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</si>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</sst>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24"/>
      <color theme="4" tint="0.59999389629810485"/>
      <name val="Aptos Narrow"/>
      <family val="2"/>
      <scheme val="minor"/>
    </font>
    <font>
      <b/>
      <sz val="20"/>
      <color theme="4" tint="0.59999389629810485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3" tint="0.74999237037263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/>
    <xf numFmtId="49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4" fontId="0" fillId="0" borderId="0" xfId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44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 applyAlignment="1">
      <alignment horizontal="right"/>
    </xf>
    <xf numFmtId="44" fontId="3" fillId="2" borderId="1" xfId="0" applyNumberFormat="1" applyFont="1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2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10" fontId="0" fillId="0" borderId="0" xfId="2" applyNumberFormat="1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0" fontId="4" fillId="0" borderId="0" xfId="3"/>
    <xf numFmtId="44" fontId="4" fillId="0" borderId="0" xfId="1" applyFont="1"/>
    <xf numFmtId="44" fontId="1" fillId="0" borderId="0" xfId="1" applyFont="1" applyAlignment="1">
      <alignment horizontal="right"/>
    </xf>
    <xf numFmtId="0" fontId="4" fillId="0" borderId="0" xfId="3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8" fillId="8" borderId="0" xfId="0" applyFont="1" applyFill="1" applyAlignment="1">
      <alignment horizontal="center" vertical="center" wrapText="1"/>
    </xf>
    <xf numFmtId="44" fontId="0" fillId="0" borderId="0" xfId="1" applyFont="1" applyBorder="1" applyAlignment="1">
      <alignment wrapText="1"/>
    </xf>
    <xf numFmtId="0" fontId="12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wrapText="1"/>
    </xf>
    <xf numFmtId="0" fontId="11" fillId="7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64" fontId="5" fillId="6" borderId="0" xfId="0" applyNumberFormat="1" applyFont="1" applyFill="1" applyAlignment="1">
      <alignment horizontal="center" wrapText="1"/>
    </xf>
    <xf numFmtId="0" fontId="10" fillId="5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C6684128-0579-41D0-968B-998305EA11FA}"/>
    <cellStyle name="Porcentagem" xfId="2" builtinId="5"/>
  </cellStyles>
  <dxfs count="19">
    <dxf>
      <font>
        <strike val="0"/>
        <u val="none"/>
        <color theme="0"/>
      </font>
      <fill>
        <patternFill>
          <bgColor rgb="FFC00000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0" formatCode="@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'DADOS CATEGORIAS'!$G$1</c:f>
              <c:strCache>
                <c:ptCount val="1"/>
                <c:pt idx="0">
                  <c:v>Participação em valor no estoque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CD-4FBC-9064-7EFC1A88FC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CD-4FBC-9064-7EFC1A88FC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CD-4FBC-9064-7EFC1A88FC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9CD-4FBC-9064-7EFC1A88FC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CATEGORIAS'!$A$2:$A$5</c:f>
              <c:strCache>
                <c:ptCount val="4"/>
                <c:pt idx="0">
                  <c:v>Fumos</c:v>
                </c:pt>
                <c:pt idx="1">
                  <c:v>Bebidas</c:v>
                </c:pt>
                <c:pt idx="2">
                  <c:v>Comidas</c:v>
                </c:pt>
                <c:pt idx="3">
                  <c:v>Limpeza</c:v>
                </c:pt>
              </c:strCache>
            </c:strRef>
          </c:cat>
          <c:val>
            <c:numRef>
              <c:f>'DADOS CATEGORIAS'!$B$2:$B$5</c:f>
              <c:numCache>
                <c:formatCode>_("R$"* #,##0.00_);_("R$"* \(#,##0.00\);_("R$"* "-"??_);_(@_)</c:formatCode>
                <c:ptCount val="4"/>
                <c:pt idx="0">
                  <c:v>4235</c:v>
                </c:pt>
                <c:pt idx="1">
                  <c:v>18947</c:v>
                </c:pt>
                <c:pt idx="2">
                  <c:v>3015</c:v>
                </c:pt>
                <c:pt idx="3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CD-4FBC-9064-7EFC1A88FC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'DADOS CATEGORIAS'!$F$1</c:f>
              <c:strCache>
                <c:ptCount val="1"/>
                <c:pt idx="0">
                  <c:v>Participação em volume no estoque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52-4AA4-AD8E-5E2A65E139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52-4AA4-AD8E-5E2A65E139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52-4AA4-AD8E-5E2A65E139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52-4AA4-AD8E-5E2A65E139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CATEGORIAS'!$A$2:$A$5</c:f>
              <c:strCache>
                <c:ptCount val="4"/>
                <c:pt idx="0">
                  <c:v>Fumos</c:v>
                </c:pt>
                <c:pt idx="1">
                  <c:v>Bebidas</c:v>
                </c:pt>
                <c:pt idx="2">
                  <c:v>Comidas</c:v>
                </c:pt>
                <c:pt idx="3">
                  <c:v>Limpeza</c:v>
                </c:pt>
              </c:strCache>
            </c:strRef>
          </c:cat>
          <c:val>
            <c:numRef>
              <c:f>'DADOS CATEGORIAS'!$C$2:$C$5</c:f>
              <c:numCache>
                <c:formatCode>@</c:formatCode>
                <c:ptCount val="4"/>
                <c:pt idx="0">
                  <c:v>149</c:v>
                </c:pt>
                <c:pt idx="1">
                  <c:v>557</c:v>
                </c:pt>
                <c:pt idx="2">
                  <c:v>373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52-4AA4-AD8E-5E2A65E1394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38100</xdr:rowOff>
    </xdr:from>
    <xdr:to>
      <xdr:col>17</xdr:col>
      <xdr:colOff>600075</xdr:colOff>
      <xdr:row>4</xdr:row>
      <xdr:rowOff>447675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A9B149-CC12-447D-9837-856E21B9B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5</xdr:row>
      <xdr:rowOff>0</xdr:rowOff>
    </xdr:from>
    <xdr:to>
      <xdr:col>18</xdr:col>
      <xdr:colOff>0</xdr:colOff>
      <xdr:row>19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DC7B2D-CED6-4D9F-AC5D-1E544B937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37982-4437-44D4-9FBD-3D5C9A3403E4}" name="Base" displayName="Base" ref="A1:H140" totalsRowShown="0" headerRowDxfId="18" dataDxfId="17">
  <autoFilter ref="A1:H140" xr:uid="{53B37982-4437-44D4-9FBD-3D5C9A3403E4}"/>
  <tableColumns count="8">
    <tableColumn id="1" xr3:uid="{6FD20E78-3500-4D65-B346-5BA6A7FAF498}" name="Data" dataDxfId="16"/>
    <tableColumn id="2" xr3:uid="{A0893F08-CFA4-49D3-9E1F-89FBBA95C007}" name="Produto" dataDxfId="15"/>
    <tableColumn id="3" xr3:uid="{4E59CD77-0B1E-4E4F-9CED-2477AC7F5A0C}" name="Categoria" dataDxfId="14"/>
    <tableColumn id="4" xr3:uid="{2ACBB7C0-342B-467D-826A-F19068CE2D5C}" name="Tipo" dataDxfId="13"/>
    <tableColumn id="5" xr3:uid="{48450AEB-007C-45DD-88C9-95F9810F30BC}" name="QTD" dataDxfId="12"/>
    <tableColumn id="9" xr3:uid="{CA830536-EECE-425C-B168-773FE41EFCAC}" name="Estoque Mínimo" dataDxfId="11"/>
    <tableColumn id="6" xr3:uid="{7FCA4823-6980-4D71-B39F-0FDED4A20000}" name="Valor Unit" dataDxfId="10" dataCellStyle="Moeda"/>
    <tableColumn id="7" xr3:uid="{02BBCC49-4E68-41FD-8D62-F28C12246EA9}" name="Sub-Total" dataDxfId="9" dataCellStyle="Moeda">
      <calculatedColumnFormula>Base[[#This Row],[Valor Unit]]*Base[[#This Row],[QTD]]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158D9B-EFD0-456A-A5AD-1E70D3F32B4A}" name="DadosCategoria" displayName="DadosCategoria" ref="A1:H5" totalsRowShown="0" headerRowDxfId="8">
  <autoFilter ref="A1:H5" xr:uid="{2F158D9B-EFD0-456A-A5AD-1E70D3F32B4A}"/>
  <tableColumns count="8">
    <tableColumn id="1" xr3:uid="{22886F6C-5E00-4F2F-BD59-BB51FF391E81}" name="Categoria"/>
    <tableColumn id="2" xr3:uid="{525EFBD4-0C2C-413A-93B8-0405643DC890}" name="Valor total" dataDxfId="7">
      <calculatedColumnFormula>SUMIF(Base[Categoria],A2,Base[Sub-Total])</calculatedColumnFormula>
    </tableColumn>
    <tableColumn id="3" xr3:uid="{4A8881CB-B3E9-4524-BB06-03D9AD571D06}" name="Volume total" dataDxfId="6">
      <calculatedColumnFormula>SUMIF(Base[Categoria],DadosCategoria[[#This Row],[Categoria]],Base[QTD])</calculatedColumnFormula>
    </tableColumn>
    <tableColumn id="4" xr3:uid="{A5F85496-3565-47C4-BAB7-91644666C1B8}" name="Valor médio por unidade" dataDxfId="5">
      <calculatedColumnFormula>DadosCategoria[[#This Row],[Valor total]]/DadosCategoria[[#This Row],[Volume total]]</calculatedColumnFormula>
    </tableColumn>
    <tableColumn id="5" xr3:uid="{327B9E8A-6317-4488-8288-4D1802AC06B6}" name="Itens únicos" dataDxfId="4">
      <calculatedColumnFormula array="1">COUNTA(_xlfn.UNIQUE(_xlfn._xlws.FILTER(Base[Produto], Base[Categoria]=DadosCategoria[[#This Row],[Categoria]])))</calculatedColumnFormula>
    </tableColumn>
    <tableColumn id="6" xr3:uid="{032E5DC8-4648-4903-9FD7-0AB978750082}" name="Participação em volume no estoque" dataDxfId="3" dataCellStyle="Porcentagem">
      <calculatedColumnFormula>(DadosCategoria[[#This Row],[Volume total]]/SUM(Base[QTD]))</calculatedColumnFormula>
    </tableColumn>
    <tableColumn id="7" xr3:uid="{86E256B8-6A5F-48D2-B05F-135792D63757}" name="Participação em valor no estoque" dataDxfId="2" dataCellStyle="Porcentagem">
      <calculatedColumnFormula>DadosCategoria[[#This Row],[Valor total]]/SUM(Base[Sub-Total])</calculatedColumnFormula>
    </tableColumn>
    <tableColumn id="8" xr3:uid="{67459BB6-7EB5-479A-97A6-2C6E2C555D3F}" name="Densidade de valor" dataDxfId="1" dataCellStyle="Porcentagem">
      <calculatedColumnFormula>DadosCategoria[[#This Row],[Participação em valor no estoque]]/DadosCategoria[[#This Row],[Participação em volume no estoque]]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0144-7728-4410-8BDC-26469E3762CB}">
  <sheetPr>
    <tabColor rgb="FFC00000"/>
  </sheetPr>
  <dimension ref="A1:I140"/>
  <sheetViews>
    <sheetView tabSelected="1" workbookViewId="0">
      <selection activeCell="A141" sqref="A141"/>
    </sheetView>
  </sheetViews>
  <sheetFormatPr defaultRowHeight="15" x14ac:dyDescent="0.25"/>
  <cols>
    <col min="1" max="1" width="11.85546875" style="2" customWidth="1"/>
    <col min="2" max="2" width="40.85546875" style="11" customWidth="1"/>
    <col min="3" max="3" width="11.85546875" style="3" customWidth="1"/>
    <col min="4" max="4" width="9.5703125" style="9" bestFit="1" customWidth="1"/>
    <col min="5" max="5" width="9.140625" style="3"/>
    <col min="6" max="6" width="18.28515625" style="3" customWidth="1"/>
    <col min="7" max="7" width="16.85546875" style="12" customWidth="1"/>
    <col min="8" max="8" width="17.7109375" style="12" customWidth="1"/>
    <col min="9" max="9" width="17.85546875" style="3" customWidth="1"/>
    <col min="10" max="16384" width="9.140625" style="3"/>
  </cols>
  <sheetData>
    <row r="1" spans="1:9" s="6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7" t="s">
        <v>5</v>
      </c>
      <c r="H1" s="5" t="s">
        <v>6</v>
      </c>
      <c r="I1" s="8"/>
    </row>
    <row r="2" spans="1:9" ht="15.75" x14ac:dyDescent="0.25">
      <c r="A2" s="23" t="s">
        <v>18</v>
      </c>
      <c r="B2" s="20" t="s">
        <v>20</v>
      </c>
      <c r="C2" s="23" t="s">
        <v>158</v>
      </c>
      <c r="D2" s="23" t="s">
        <v>3</v>
      </c>
      <c r="E2" s="23">
        <v>6</v>
      </c>
      <c r="F2" s="3">
        <v>4</v>
      </c>
      <c r="G2" s="21">
        <v>45</v>
      </c>
      <c r="H2" s="12">
        <f>Base[[#This Row],[Valor Unit]]*Base[[#This Row],[QTD]]</f>
        <v>270</v>
      </c>
      <c r="I2" s="10"/>
    </row>
    <row r="3" spans="1:9" ht="15.75" x14ac:dyDescent="0.25">
      <c r="A3" s="23" t="s">
        <v>18</v>
      </c>
      <c r="B3" s="20" t="s">
        <v>21</v>
      </c>
      <c r="C3" s="23" t="s">
        <v>158</v>
      </c>
      <c r="D3" s="23" t="s">
        <v>163</v>
      </c>
      <c r="E3" s="23">
        <v>6</v>
      </c>
      <c r="F3" s="3">
        <v>2</v>
      </c>
      <c r="G3" s="21">
        <v>45</v>
      </c>
      <c r="H3" s="12">
        <f>Base[[#This Row],[Valor Unit]]*Base[[#This Row],[QTD]]</f>
        <v>270</v>
      </c>
    </row>
    <row r="4" spans="1:9" ht="15.75" x14ac:dyDescent="0.25">
      <c r="A4" s="23" t="s">
        <v>18</v>
      </c>
      <c r="B4" s="20" t="s">
        <v>22</v>
      </c>
      <c r="C4" s="23" t="s">
        <v>158</v>
      </c>
      <c r="D4" s="23" t="s">
        <v>163</v>
      </c>
      <c r="E4" s="23">
        <v>7</v>
      </c>
      <c r="F4" s="3">
        <v>5</v>
      </c>
      <c r="G4" s="21">
        <v>60</v>
      </c>
      <c r="H4" s="12">
        <f>Base[[#This Row],[Valor Unit]]*Base[[#This Row],[QTD]]</f>
        <v>420</v>
      </c>
    </row>
    <row r="5" spans="1:9" ht="15.75" x14ac:dyDescent="0.25">
      <c r="A5" s="23" t="s">
        <v>18</v>
      </c>
      <c r="B5" s="20" t="s">
        <v>23</v>
      </c>
      <c r="C5" s="23" t="s">
        <v>158</v>
      </c>
      <c r="D5" s="23" t="s">
        <v>162</v>
      </c>
      <c r="E5" s="23">
        <v>11</v>
      </c>
      <c r="F5" s="3">
        <v>5</v>
      </c>
      <c r="G5" s="21">
        <v>50</v>
      </c>
      <c r="H5" s="12">
        <f>Base[[#This Row],[Valor Unit]]*Base[[#This Row],[QTD]]</f>
        <v>550</v>
      </c>
    </row>
    <row r="6" spans="1:9" ht="15.75" x14ac:dyDescent="0.25">
      <c r="A6" s="23" t="s">
        <v>18</v>
      </c>
      <c r="B6" s="20" t="s">
        <v>24</v>
      </c>
      <c r="C6" s="23" t="s">
        <v>158</v>
      </c>
      <c r="D6" s="23" t="s">
        <v>162</v>
      </c>
      <c r="E6" s="23">
        <v>6</v>
      </c>
      <c r="F6" s="3">
        <v>5</v>
      </c>
      <c r="G6" s="21">
        <v>55</v>
      </c>
      <c r="H6" s="12">
        <f>Base[[#This Row],[Valor Unit]]*Base[[#This Row],[QTD]]</f>
        <v>330</v>
      </c>
    </row>
    <row r="7" spans="1:9" ht="15.75" x14ac:dyDescent="0.25">
      <c r="A7" s="23" t="s">
        <v>18</v>
      </c>
      <c r="B7" s="20" t="s">
        <v>25</v>
      </c>
      <c r="C7" s="23" t="s">
        <v>158</v>
      </c>
      <c r="D7" s="23" t="s">
        <v>162</v>
      </c>
      <c r="E7" s="23">
        <v>6</v>
      </c>
      <c r="F7" s="3">
        <v>5</v>
      </c>
      <c r="G7" s="21">
        <v>65</v>
      </c>
      <c r="H7" s="12">
        <f>Base[[#This Row],[Valor Unit]]*Base[[#This Row],[QTD]]</f>
        <v>390</v>
      </c>
    </row>
    <row r="8" spans="1:9" ht="15.75" x14ac:dyDescent="0.25">
      <c r="A8" s="23" t="s">
        <v>18</v>
      </c>
      <c r="B8" s="20" t="s">
        <v>26</v>
      </c>
      <c r="C8" s="23" t="s">
        <v>158</v>
      </c>
      <c r="D8" s="23" t="s">
        <v>162</v>
      </c>
      <c r="E8" s="23">
        <v>8</v>
      </c>
      <c r="F8" s="3">
        <v>5</v>
      </c>
      <c r="G8" s="21">
        <v>70</v>
      </c>
      <c r="H8" s="12">
        <f>Base[[#This Row],[Valor Unit]]*Base[[#This Row],[QTD]]</f>
        <v>560</v>
      </c>
    </row>
    <row r="9" spans="1:9" ht="15.75" x14ac:dyDescent="0.25">
      <c r="A9" s="23" t="s">
        <v>18</v>
      </c>
      <c r="B9" s="20" t="s">
        <v>27</v>
      </c>
      <c r="C9" s="23" t="s">
        <v>158</v>
      </c>
      <c r="D9" s="23" t="s">
        <v>163</v>
      </c>
      <c r="E9" s="23">
        <v>3</v>
      </c>
      <c r="F9" s="3">
        <v>5</v>
      </c>
      <c r="G9" s="21">
        <v>80</v>
      </c>
      <c r="H9" s="12">
        <f>Base[[#This Row],[Valor Unit]]*Base[[#This Row],[QTD]]</f>
        <v>240</v>
      </c>
    </row>
    <row r="10" spans="1:9" ht="15.75" x14ac:dyDescent="0.25">
      <c r="A10" s="23" t="s">
        <v>18</v>
      </c>
      <c r="B10" s="20" t="s">
        <v>28</v>
      </c>
      <c r="C10" s="23" t="s">
        <v>158</v>
      </c>
      <c r="D10" s="23" t="s">
        <v>163</v>
      </c>
      <c r="E10" s="23">
        <v>11</v>
      </c>
      <c r="F10" s="3">
        <v>5</v>
      </c>
      <c r="G10" s="21">
        <v>22</v>
      </c>
      <c r="H10" s="12">
        <f>Base[[#This Row],[Valor Unit]]*Base[[#This Row],[QTD]]</f>
        <v>242</v>
      </c>
    </row>
    <row r="11" spans="1:9" ht="15.75" x14ac:dyDescent="0.25">
      <c r="A11" s="23" t="s">
        <v>18</v>
      </c>
      <c r="B11" s="20" t="s">
        <v>29</v>
      </c>
      <c r="C11" s="23" t="s">
        <v>158</v>
      </c>
      <c r="D11" s="23" t="s">
        <v>163</v>
      </c>
      <c r="E11" s="23">
        <v>1</v>
      </c>
      <c r="F11" s="3">
        <v>5</v>
      </c>
      <c r="G11" s="21">
        <v>35</v>
      </c>
      <c r="H11" s="22">
        <f>Base[[#This Row],[Valor Unit]]*Base[[#This Row],[QTD]]</f>
        <v>35</v>
      </c>
    </row>
    <row r="12" spans="1:9" ht="15.75" x14ac:dyDescent="0.25">
      <c r="A12" s="23" t="s">
        <v>18</v>
      </c>
      <c r="B12" s="20" t="s">
        <v>30</v>
      </c>
      <c r="C12" s="23" t="s">
        <v>159</v>
      </c>
      <c r="D12" s="23" t="s">
        <v>163</v>
      </c>
      <c r="E12" s="23">
        <v>5</v>
      </c>
      <c r="F12" s="3">
        <v>5</v>
      </c>
      <c r="G12" s="21">
        <v>45</v>
      </c>
      <c r="H12" s="12">
        <f>Base[[#This Row],[Valor Unit]]*Base[[#This Row],[QTD]]</f>
        <v>225</v>
      </c>
    </row>
    <row r="13" spans="1:9" ht="15.75" x14ac:dyDescent="0.25">
      <c r="A13" s="23" t="s">
        <v>18</v>
      </c>
      <c r="B13" s="20" t="s">
        <v>31</v>
      </c>
      <c r="C13" s="23" t="s">
        <v>158</v>
      </c>
      <c r="D13" s="23" t="s">
        <v>163</v>
      </c>
      <c r="E13" s="23">
        <v>6</v>
      </c>
      <c r="F13" s="3">
        <v>5</v>
      </c>
      <c r="G13" s="21">
        <v>45</v>
      </c>
      <c r="H13" s="12">
        <f>Base[[#This Row],[Valor Unit]]*Base[[#This Row],[QTD]]</f>
        <v>270</v>
      </c>
    </row>
    <row r="14" spans="1:9" ht="15.75" x14ac:dyDescent="0.25">
      <c r="A14" s="23" t="s">
        <v>18</v>
      </c>
      <c r="B14" s="20" t="s">
        <v>32</v>
      </c>
      <c r="C14" s="23" t="s">
        <v>158</v>
      </c>
      <c r="D14" s="23" t="s">
        <v>163</v>
      </c>
      <c r="E14" s="23">
        <v>8</v>
      </c>
      <c r="F14" s="3">
        <v>5</v>
      </c>
      <c r="G14" s="21">
        <v>30</v>
      </c>
      <c r="H14" s="12">
        <f>Base[[#This Row],[Valor Unit]]*Base[[#This Row],[QTD]]</f>
        <v>240</v>
      </c>
    </row>
    <row r="15" spans="1:9" ht="15.75" x14ac:dyDescent="0.25">
      <c r="A15" s="23" t="s">
        <v>18</v>
      </c>
      <c r="B15" s="20" t="s">
        <v>33</v>
      </c>
      <c r="C15" s="23" t="s">
        <v>158</v>
      </c>
      <c r="D15" s="23" t="s">
        <v>163</v>
      </c>
      <c r="E15" s="23">
        <v>10</v>
      </c>
      <c r="F15" s="3">
        <v>5</v>
      </c>
      <c r="G15" s="21">
        <v>30</v>
      </c>
      <c r="H15" s="12">
        <f>Base[[#This Row],[Valor Unit]]*Base[[#This Row],[QTD]]</f>
        <v>300</v>
      </c>
    </row>
    <row r="16" spans="1:9" ht="15.75" x14ac:dyDescent="0.25">
      <c r="A16" s="23" t="s">
        <v>18</v>
      </c>
      <c r="B16" s="20" t="s">
        <v>34</v>
      </c>
      <c r="C16" s="23" t="s">
        <v>158</v>
      </c>
      <c r="D16" s="23" t="s">
        <v>163</v>
      </c>
      <c r="E16" s="23">
        <v>1</v>
      </c>
      <c r="F16" s="3">
        <v>5</v>
      </c>
      <c r="G16" s="21">
        <v>36</v>
      </c>
      <c r="H16" s="12">
        <f>Base[[#This Row],[Valor Unit]]*Base[[#This Row],[QTD]]</f>
        <v>36</v>
      </c>
    </row>
    <row r="17" spans="1:8" ht="15.75" x14ac:dyDescent="0.25">
      <c r="A17" s="23" t="s">
        <v>18</v>
      </c>
      <c r="B17" s="20" t="s">
        <v>35</v>
      </c>
      <c r="C17" s="23" t="s">
        <v>159</v>
      </c>
      <c r="D17" s="23" t="s">
        <v>162</v>
      </c>
      <c r="E17" s="23">
        <v>1</v>
      </c>
      <c r="F17" s="3">
        <v>5</v>
      </c>
      <c r="G17" s="21">
        <v>51</v>
      </c>
      <c r="H17" s="12">
        <f>Base[[#This Row],[Valor Unit]]*Base[[#This Row],[QTD]]</f>
        <v>51</v>
      </c>
    </row>
    <row r="18" spans="1:8" ht="15.75" x14ac:dyDescent="0.25">
      <c r="A18" s="23" t="s">
        <v>18</v>
      </c>
      <c r="B18" s="20" t="s">
        <v>36</v>
      </c>
      <c r="C18" s="23" t="s">
        <v>159</v>
      </c>
      <c r="D18" s="23" t="s">
        <v>162</v>
      </c>
      <c r="E18" s="23">
        <v>2</v>
      </c>
      <c r="F18" s="3">
        <v>5</v>
      </c>
      <c r="G18" s="21">
        <v>102</v>
      </c>
      <c r="H18" s="12">
        <f>Base[[#This Row],[Valor Unit]]*Base[[#This Row],[QTD]]</f>
        <v>204</v>
      </c>
    </row>
    <row r="19" spans="1:8" ht="15.75" x14ac:dyDescent="0.25">
      <c r="A19" s="23" t="s">
        <v>18</v>
      </c>
      <c r="B19" s="20" t="s">
        <v>35</v>
      </c>
      <c r="C19" s="23" t="s">
        <v>159</v>
      </c>
      <c r="D19" s="23" t="s">
        <v>163</v>
      </c>
      <c r="E19" s="23">
        <v>15</v>
      </c>
      <c r="F19" s="3">
        <v>5</v>
      </c>
      <c r="G19" s="21">
        <v>3</v>
      </c>
      <c r="H19" s="12">
        <f>Base[[#This Row],[Valor Unit]]*Base[[#This Row],[QTD]]</f>
        <v>45</v>
      </c>
    </row>
    <row r="20" spans="1:8" ht="15.75" x14ac:dyDescent="0.25">
      <c r="A20" s="23" t="s">
        <v>18</v>
      </c>
      <c r="B20" s="20" t="s">
        <v>37</v>
      </c>
      <c r="C20" s="23" t="s">
        <v>159</v>
      </c>
      <c r="D20" s="23" t="s">
        <v>163</v>
      </c>
      <c r="E20" s="23">
        <v>25</v>
      </c>
      <c r="F20" s="3">
        <v>5</v>
      </c>
      <c r="G20" s="21">
        <v>2.5</v>
      </c>
      <c r="H20" s="12">
        <f>Base[[#This Row],[Valor Unit]]*Base[[#This Row],[QTD]]</f>
        <v>62.5</v>
      </c>
    </row>
    <row r="21" spans="1:8" ht="15.75" x14ac:dyDescent="0.25">
      <c r="A21" s="23" t="s">
        <v>18</v>
      </c>
      <c r="B21" s="20" t="s">
        <v>38</v>
      </c>
      <c r="C21" s="23" t="s">
        <v>158</v>
      </c>
      <c r="D21" s="23" t="s">
        <v>163</v>
      </c>
      <c r="E21" s="23">
        <v>4</v>
      </c>
      <c r="F21" s="3">
        <v>5</v>
      </c>
      <c r="G21" s="21">
        <v>70</v>
      </c>
      <c r="H21" s="12">
        <f>Base[[#This Row],[Valor Unit]]*Base[[#This Row],[QTD]]</f>
        <v>280</v>
      </c>
    </row>
    <row r="22" spans="1:8" ht="15.75" x14ac:dyDescent="0.25">
      <c r="A22" s="23" t="s">
        <v>18</v>
      </c>
      <c r="B22" s="20" t="s">
        <v>39</v>
      </c>
      <c r="C22" s="23" t="s">
        <v>158</v>
      </c>
      <c r="D22" s="23" t="s">
        <v>163</v>
      </c>
      <c r="E22" s="23">
        <v>6</v>
      </c>
      <c r="F22" s="3">
        <v>5</v>
      </c>
      <c r="G22" s="21">
        <v>25</v>
      </c>
      <c r="H22" s="12">
        <f>Base[[#This Row],[Valor Unit]]*Base[[#This Row],[QTD]]</f>
        <v>150</v>
      </c>
    </row>
    <row r="23" spans="1:8" ht="15.75" x14ac:dyDescent="0.25">
      <c r="A23" s="23" t="s">
        <v>18</v>
      </c>
      <c r="B23" s="20" t="s">
        <v>40</v>
      </c>
      <c r="C23" s="23" t="s">
        <v>158</v>
      </c>
      <c r="D23" s="23" t="s">
        <v>163</v>
      </c>
      <c r="E23" s="23">
        <v>1</v>
      </c>
      <c r="F23" s="3">
        <v>5</v>
      </c>
      <c r="G23" s="21">
        <v>120</v>
      </c>
      <c r="H23" s="12">
        <f>Base[[#This Row],[Valor Unit]]*Base[[#This Row],[QTD]]</f>
        <v>120</v>
      </c>
    </row>
    <row r="24" spans="1:8" ht="15.75" x14ac:dyDescent="0.25">
      <c r="A24" s="23" t="s">
        <v>18</v>
      </c>
      <c r="B24" s="20" t="s">
        <v>41</v>
      </c>
      <c r="C24" s="23" t="s">
        <v>158</v>
      </c>
      <c r="D24" s="23" t="s">
        <v>163</v>
      </c>
      <c r="E24" s="23">
        <v>1</v>
      </c>
      <c r="F24" s="3">
        <v>5</v>
      </c>
      <c r="G24" s="21">
        <v>190</v>
      </c>
      <c r="H24" s="12">
        <f>Base[[#This Row],[Valor Unit]]*Base[[#This Row],[QTD]]</f>
        <v>190</v>
      </c>
    </row>
    <row r="25" spans="1:8" ht="15.75" x14ac:dyDescent="0.25">
      <c r="A25" s="23" t="s">
        <v>18</v>
      </c>
      <c r="B25" s="20" t="s">
        <v>42</v>
      </c>
      <c r="C25" s="23" t="s">
        <v>158</v>
      </c>
      <c r="D25" s="23" t="s">
        <v>163</v>
      </c>
      <c r="E25" s="23">
        <v>6</v>
      </c>
      <c r="F25" s="3">
        <v>5</v>
      </c>
      <c r="G25" s="21">
        <v>25</v>
      </c>
      <c r="H25" s="12">
        <f>Base[[#This Row],[Valor Unit]]*Base[[#This Row],[QTD]]</f>
        <v>150</v>
      </c>
    </row>
    <row r="26" spans="1:8" ht="15.75" x14ac:dyDescent="0.25">
      <c r="A26" s="23" t="s">
        <v>18</v>
      </c>
      <c r="B26" s="20" t="s">
        <v>43</v>
      </c>
      <c r="C26" s="23" t="s">
        <v>158</v>
      </c>
      <c r="D26" s="23" t="s">
        <v>163</v>
      </c>
      <c r="E26" s="23">
        <v>16</v>
      </c>
      <c r="F26" s="3">
        <v>5</v>
      </c>
      <c r="G26" s="21">
        <v>25</v>
      </c>
      <c r="H26" s="12">
        <f>Base[[#This Row],[Valor Unit]]*Base[[#This Row],[QTD]]</f>
        <v>400</v>
      </c>
    </row>
    <row r="27" spans="1:8" ht="15.75" x14ac:dyDescent="0.25">
      <c r="A27" s="23" t="s">
        <v>18</v>
      </c>
      <c r="B27" s="20" t="s">
        <v>44</v>
      </c>
      <c r="C27" s="23" t="s">
        <v>158</v>
      </c>
      <c r="D27" s="23" t="s">
        <v>162</v>
      </c>
      <c r="E27" s="23">
        <v>2</v>
      </c>
      <c r="F27" s="3">
        <v>5</v>
      </c>
      <c r="G27" s="21">
        <v>150</v>
      </c>
      <c r="H27" s="12">
        <f>Base[[#This Row],[Valor Unit]]*Base[[#This Row],[QTD]]</f>
        <v>300</v>
      </c>
    </row>
    <row r="28" spans="1:8" ht="15.75" x14ac:dyDescent="0.25">
      <c r="A28" s="23" t="s">
        <v>18</v>
      </c>
      <c r="B28" s="20" t="s">
        <v>45</v>
      </c>
      <c r="C28" s="23" t="s">
        <v>158</v>
      </c>
      <c r="D28" s="23" t="s">
        <v>163</v>
      </c>
      <c r="E28" s="23">
        <v>2</v>
      </c>
      <c r="F28" s="3">
        <v>5</v>
      </c>
      <c r="G28" s="21">
        <v>50</v>
      </c>
      <c r="H28" s="12">
        <f>Base[[#This Row],[Valor Unit]]*Base[[#This Row],[QTD]]</f>
        <v>100</v>
      </c>
    </row>
    <row r="29" spans="1:8" ht="15.75" x14ac:dyDescent="0.25">
      <c r="A29" s="23" t="s">
        <v>18</v>
      </c>
      <c r="B29" s="20" t="s">
        <v>46</v>
      </c>
      <c r="C29" s="23" t="s">
        <v>158</v>
      </c>
      <c r="D29" s="23" t="s">
        <v>163</v>
      </c>
      <c r="E29" s="23">
        <v>12</v>
      </c>
      <c r="F29" s="3">
        <v>5</v>
      </c>
      <c r="G29" s="21">
        <v>30</v>
      </c>
      <c r="H29" s="12">
        <f>Base[[#This Row],[Valor Unit]]*Base[[#This Row],[QTD]]</f>
        <v>360</v>
      </c>
    </row>
    <row r="30" spans="1:8" ht="15.75" x14ac:dyDescent="0.25">
      <c r="A30" s="23" t="s">
        <v>18</v>
      </c>
      <c r="B30" s="20" t="s">
        <v>47</v>
      </c>
      <c r="C30" s="23" t="s">
        <v>158</v>
      </c>
      <c r="D30" s="23" t="s">
        <v>163</v>
      </c>
      <c r="E30" s="23">
        <v>22</v>
      </c>
      <c r="F30" s="3">
        <v>5</v>
      </c>
      <c r="G30" s="21">
        <v>45</v>
      </c>
      <c r="H30" s="12">
        <f>Base[[#This Row],[Valor Unit]]*Base[[#This Row],[QTD]]</f>
        <v>990</v>
      </c>
    </row>
    <row r="31" spans="1:8" ht="15.75" x14ac:dyDescent="0.25">
      <c r="A31" s="23" t="s">
        <v>18</v>
      </c>
      <c r="B31" s="20" t="s">
        <v>48</v>
      </c>
      <c r="C31" s="23" t="s">
        <v>158</v>
      </c>
      <c r="D31" s="23" t="s">
        <v>163</v>
      </c>
      <c r="E31" s="23">
        <v>2</v>
      </c>
      <c r="F31" s="3">
        <v>5</v>
      </c>
      <c r="G31" s="21">
        <v>47</v>
      </c>
      <c r="H31" s="12">
        <f>Base[[#This Row],[Valor Unit]]*Base[[#This Row],[QTD]]</f>
        <v>94</v>
      </c>
    </row>
    <row r="32" spans="1:8" ht="15.75" x14ac:dyDescent="0.25">
      <c r="A32" s="23" t="s">
        <v>18</v>
      </c>
      <c r="B32" s="20" t="s">
        <v>49</v>
      </c>
      <c r="C32" s="23" t="s">
        <v>158</v>
      </c>
      <c r="D32" s="23" t="s">
        <v>163</v>
      </c>
      <c r="E32" s="23">
        <v>2</v>
      </c>
      <c r="F32" s="3">
        <v>5</v>
      </c>
      <c r="G32" s="21">
        <v>45</v>
      </c>
      <c r="H32" s="12">
        <f>Base[[#This Row],[Valor Unit]]*Base[[#This Row],[QTD]]</f>
        <v>90</v>
      </c>
    </row>
    <row r="33" spans="1:8" ht="15.75" x14ac:dyDescent="0.25">
      <c r="A33" s="23" t="s">
        <v>18</v>
      </c>
      <c r="B33" s="20" t="s">
        <v>50</v>
      </c>
      <c r="C33" s="23" t="s">
        <v>158</v>
      </c>
      <c r="D33" s="23" t="s">
        <v>163</v>
      </c>
      <c r="E33" s="23">
        <v>1</v>
      </c>
      <c r="F33" s="3">
        <v>5</v>
      </c>
      <c r="G33" s="21">
        <v>50</v>
      </c>
      <c r="H33" s="12">
        <f>Base[[#This Row],[Valor Unit]]*Base[[#This Row],[QTD]]</f>
        <v>50</v>
      </c>
    </row>
    <row r="34" spans="1:8" ht="15.75" x14ac:dyDescent="0.25">
      <c r="A34" s="23" t="s">
        <v>18</v>
      </c>
      <c r="B34" s="20" t="s">
        <v>51</v>
      </c>
      <c r="C34" s="23" t="s">
        <v>158</v>
      </c>
      <c r="D34" s="23" t="s">
        <v>163</v>
      </c>
      <c r="E34" s="23">
        <v>1</v>
      </c>
      <c r="F34" s="3">
        <v>5</v>
      </c>
      <c r="G34" s="21">
        <v>220</v>
      </c>
      <c r="H34" s="12">
        <f>Base[[#This Row],[Valor Unit]]*Base[[#This Row],[QTD]]</f>
        <v>220</v>
      </c>
    </row>
    <row r="35" spans="1:8" ht="15.75" x14ac:dyDescent="0.25">
      <c r="A35" s="23" t="s">
        <v>18</v>
      </c>
      <c r="B35" s="20" t="s">
        <v>52</v>
      </c>
      <c r="C35" s="23" t="s">
        <v>159</v>
      </c>
      <c r="D35" s="23" t="s">
        <v>162</v>
      </c>
      <c r="E35" s="23">
        <v>2</v>
      </c>
      <c r="F35" s="3">
        <v>5</v>
      </c>
      <c r="G35" s="21">
        <v>30</v>
      </c>
      <c r="H35" s="12">
        <f>Base[[#This Row],[Valor Unit]]*Base[[#This Row],[QTD]]</f>
        <v>60</v>
      </c>
    </row>
    <row r="36" spans="1:8" ht="15.75" x14ac:dyDescent="0.25">
      <c r="A36" s="23" t="s">
        <v>18</v>
      </c>
      <c r="B36" s="20" t="s">
        <v>53</v>
      </c>
      <c r="C36" s="23" t="s">
        <v>159</v>
      </c>
      <c r="D36" s="23" t="s">
        <v>162</v>
      </c>
      <c r="E36" s="23">
        <v>7</v>
      </c>
      <c r="F36" s="3">
        <v>5</v>
      </c>
      <c r="G36" s="21">
        <v>45</v>
      </c>
      <c r="H36" s="12">
        <f>Base[[#This Row],[Valor Unit]]*Base[[#This Row],[QTD]]</f>
        <v>315</v>
      </c>
    </row>
    <row r="37" spans="1:8" ht="15.75" x14ac:dyDescent="0.25">
      <c r="A37" s="23" t="s">
        <v>18</v>
      </c>
      <c r="B37" s="20" t="s">
        <v>54</v>
      </c>
      <c r="C37" s="23" t="s">
        <v>158</v>
      </c>
      <c r="D37" s="23" t="s">
        <v>163</v>
      </c>
      <c r="E37" s="23">
        <v>11</v>
      </c>
      <c r="F37" s="3">
        <v>5</v>
      </c>
      <c r="G37" s="21">
        <v>30</v>
      </c>
      <c r="H37" s="12">
        <f>Base[[#This Row],[Valor Unit]]*Base[[#This Row],[QTD]]</f>
        <v>330</v>
      </c>
    </row>
    <row r="38" spans="1:8" ht="15.75" x14ac:dyDescent="0.25">
      <c r="A38" s="23" t="s">
        <v>18</v>
      </c>
      <c r="B38" s="20" t="s">
        <v>55</v>
      </c>
      <c r="C38" s="23" t="s">
        <v>158</v>
      </c>
      <c r="D38" s="23" t="s">
        <v>163</v>
      </c>
      <c r="E38" s="23">
        <v>1</v>
      </c>
      <c r="F38" s="3">
        <v>5</v>
      </c>
      <c r="G38" s="21">
        <v>45</v>
      </c>
      <c r="H38" s="12">
        <f>Base[[#This Row],[Valor Unit]]*Base[[#This Row],[QTD]]</f>
        <v>45</v>
      </c>
    </row>
    <row r="39" spans="1:8" ht="15.75" x14ac:dyDescent="0.25">
      <c r="A39" s="23" t="s">
        <v>18</v>
      </c>
      <c r="B39" s="20" t="s">
        <v>56</v>
      </c>
      <c r="C39" s="23" t="s">
        <v>158</v>
      </c>
      <c r="D39" s="23" t="s">
        <v>163</v>
      </c>
      <c r="E39" s="23">
        <v>1</v>
      </c>
      <c r="F39" s="3">
        <v>5</v>
      </c>
      <c r="G39" s="21">
        <v>45</v>
      </c>
      <c r="H39" s="12">
        <f>Base[[#This Row],[Valor Unit]]*Base[[#This Row],[QTD]]</f>
        <v>45</v>
      </c>
    </row>
    <row r="40" spans="1:8" ht="15.75" x14ac:dyDescent="0.25">
      <c r="A40" s="23" t="s">
        <v>18</v>
      </c>
      <c r="B40" s="20" t="s">
        <v>57</v>
      </c>
      <c r="C40" s="23" t="s">
        <v>158</v>
      </c>
      <c r="D40" s="23" t="s">
        <v>163</v>
      </c>
      <c r="E40" s="23">
        <v>1</v>
      </c>
      <c r="F40" s="3">
        <v>5</v>
      </c>
      <c r="G40" s="21">
        <v>25</v>
      </c>
      <c r="H40" s="12">
        <f>Base[[#This Row],[Valor Unit]]*Base[[#This Row],[QTD]]</f>
        <v>25</v>
      </c>
    </row>
    <row r="41" spans="1:8" ht="15.75" x14ac:dyDescent="0.25">
      <c r="A41" s="23" t="s">
        <v>18</v>
      </c>
      <c r="B41" s="20" t="s">
        <v>58</v>
      </c>
      <c r="C41" s="23" t="s">
        <v>158</v>
      </c>
      <c r="D41" s="23" t="s">
        <v>163</v>
      </c>
      <c r="E41" s="23">
        <v>1</v>
      </c>
      <c r="F41" s="3">
        <v>5</v>
      </c>
      <c r="G41" s="21">
        <v>25</v>
      </c>
      <c r="H41" s="12">
        <f>Base[[#This Row],[Valor Unit]]*Base[[#This Row],[QTD]]</f>
        <v>25</v>
      </c>
    </row>
    <row r="42" spans="1:8" ht="15.75" x14ac:dyDescent="0.25">
      <c r="A42" s="23" t="s">
        <v>18</v>
      </c>
      <c r="B42" s="20" t="s">
        <v>59</v>
      </c>
      <c r="C42" s="23" t="s">
        <v>158</v>
      </c>
      <c r="D42" s="23" t="s">
        <v>163</v>
      </c>
      <c r="E42" s="23">
        <v>2</v>
      </c>
      <c r="F42" s="3">
        <v>5</v>
      </c>
      <c r="G42" s="21">
        <v>30</v>
      </c>
      <c r="H42" s="12">
        <f>Base[[#This Row],[Valor Unit]]*Base[[#This Row],[QTD]]</f>
        <v>60</v>
      </c>
    </row>
    <row r="43" spans="1:8" ht="15.75" x14ac:dyDescent="0.25">
      <c r="A43" s="23" t="s">
        <v>18</v>
      </c>
      <c r="B43" s="20" t="s">
        <v>60</v>
      </c>
      <c r="C43" s="23" t="s">
        <v>158</v>
      </c>
      <c r="D43" s="23" t="s">
        <v>163</v>
      </c>
      <c r="E43" s="23">
        <v>15</v>
      </c>
      <c r="F43" s="3">
        <v>5</v>
      </c>
      <c r="G43" s="21">
        <v>30</v>
      </c>
      <c r="H43" s="12">
        <f>Base[[#This Row],[Valor Unit]]*Base[[#This Row],[QTD]]</f>
        <v>450</v>
      </c>
    </row>
    <row r="44" spans="1:8" ht="15.75" x14ac:dyDescent="0.25">
      <c r="A44" s="23" t="s">
        <v>18</v>
      </c>
      <c r="B44" s="20" t="s">
        <v>61</v>
      </c>
      <c r="C44" s="23" t="s">
        <v>158</v>
      </c>
      <c r="D44" s="23" t="s">
        <v>163</v>
      </c>
      <c r="E44" s="23">
        <v>4</v>
      </c>
      <c r="F44" s="3">
        <v>5</v>
      </c>
      <c r="G44" s="21">
        <v>30</v>
      </c>
      <c r="H44" s="12">
        <f>Base[[#This Row],[Valor Unit]]*Base[[#This Row],[QTD]]</f>
        <v>120</v>
      </c>
    </row>
    <row r="45" spans="1:8" ht="15.75" x14ac:dyDescent="0.25">
      <c r="A45" s="23" t="s">
        <v>18</v>
      </c>
      <c r="B45" s="20" t="s">
        <v>62</v>
      </c>
      <c r="C45" s="23" t="s">
        <v>158</v>
      </c>
      <c r="D45" s="23" t="s">
        <v>163</v>
      </c>
      <c r="E45" s="23">
        <v>1</v>
      </c>
      <c r="F45" s="3">
        <v>5</v>
      </c>
      <c r="G45" s="21">
        <v>30</v>
      </c>
      <c r="H45" s="12">
        <f>Base[[#This Row],[Valor Unit]]*Base[[#This Row],[QTD]]</f>
        <v>30</v>
      </c>
    </row>
    <row r="46" spans="1:8" ht="15.75" x14ac:dyDescent="0.25">
      <c r="A46" s="23" t="s">
        <v>18</v>
      </c>
      <c r="B46" s="20" t="s">
        <v>63</v>
      </c>
      <c r="C46" s="23" t="s">
        <v>158</v>
      </c>
      <c r="D46" s="23" t="s">
        <v>163</v>
      </c>
      <c r="E46" s="23">
        <v>6</v>
      </c>
      <c r="F46" s="3">
        <v>5</v>
      </c>
      <c r="G46" s="21">
        <v>70</v>
      </c>
      <c r="H46" s="12">
        <f>Base[[#This Row],[Valor Unit]]*Base[[#This Row],[QTD]]</f>
        <v>420</v>
      </c>
    </row>
    <row r="47" spans="1:8" ht="15.75" x14ac:dyDescent="0.25">
      <c r="A47" s="23" t="s">
        <v>18</v>
      </c>
      <c r="B47" s="20" t="s">
        <v>64</v>
      </c>
      <c r="C47" s="23" t="s">
        <v>158</v>
      </c>
      <c r="D47" s="23" t="s">
        <v>163</v>
      </c>
      <c r="E47" s="23">
        <v>1</v>
      </c>
      <c r="F47" s="3">
        <v>5</v>
      </c>
      <c r="G47" s="21">
        <v>45</v>
      </c>
      <c r="H47" s="12">
        <f>Base[[#This Row],[Valor Unit]]*Base[[#This Row],[QTD]]</f>
        <v>45</v>
      </c>
    </row>
    <row r="48" spans="1:8" ht="15.75" x14ac:dyDescent="0.25">
      <c r="A48" s="23" t="s">
        <v>18</v>
      </c>
      <c r="B48" s="20" t="s">
        <v>65</v>
      </c>
      <c r="C48" s="23" t="s">
        <v>158</v>
      </c>
      <c r="D48" s="23" t="s">
        <v>163</v>
      </c>
      <c r="E48" s="23">
        <v>1</v>
      </c>
      <c r="F48" s="3">
        <v>5</v>
      </c>
      <c r="G48" s="21">
        <v>45</v>
      </c>
      <c r="H48" s="12">
        <f>Base[[#This Row],[Valor Unit]]*Base[[#This Row],[QTD]]</f>
        <v>45</v>
      </c>
    </row>
    <row r="49" spans="1:8" ht="15.75" x14ac:dyDescent="0.25">
      <c r="A49" s="23" t="s">
        <v>18</v>
      </c>
      <c r="B49" s="20" t="s">
        <v>66</v>
      </c>
      <c r="C49" s="23" t="s">
        <v>158</v>
      </c>
      <c r="D49" s="23" t="s">
        <v>163</v>
      </c>
      <c r="E49" s="23">
        <v>2</v>
      </c>
      <c r="F49" s="3">
        <v>5</v>
      </c>
      <c r="G49" s="21">
        <v>45</v>
      </c>
      <c r="H49" s="12">
        <f>Base[[#This Row],[Valor Unit]]*Base[[#This Row],[QTD]]</f>
        <v>90</v>
      </c>
    </row>
    <row r="50" spans="1:8" ht="15.75" x14ac:dyDescent="0.25">
      <c r="A50" s="23" t="s">
        <v>18</v>
      </c>
      <c r="B50" s="20" t="s">
        <v>67</v>
      </c>
      <c r="C50" s="23" t="s">
        <v>158</v>
      </c>
      <c r="D50" s="23" t="s">
        <v>163</v>
      </c>
      <c r="E50" s="23">
        <v>15</v>
      </c>
      <c r="F50" s="3">
        <v>5</v>
      </c>
      <c r="G50" s="21">
        <v>6.5</v>
      </c>
      <c r="H50" s="12">
        <f>Base[[#This Row],[Valor Unit]]*Base[[#This Row],[QTD]]</f>
        <v>97.5</v>
      </c>
    </row>
    <row r="51" spans="1:8" ht="15.75" x14ac:dyDescent="0.25">
      <c r="A51" s="23" t="s">
        <v>18</v>
      </c>
      <c r="B51" s="20" t="s">
        <v>68</v>
      </c>
      <c r="C51" s="23" t="s">
        <v>158</v>
      </c>
      <c r="D51" s="23" t="s">
        <v>163</v>
      </c>
      <c r="E51" s="23">
        <v>10</v>
      </c>
      <c r="F51" s="3">
        <v>5</v>
      </c>
      <c r="G51" s="21">
        <v>6.5</v>
      </c>
      <c r="H51" s="12">
        <f>Base[[#This Row],[Valor Unit]]*Base[[#This Row],[QTD]]</f>
        <v>65</v>
      </c>
    </row>
    <row r="52" spans="1:8" ht="15.75" x14ac:dyDescent="0.25">
      <c r="A52" s="23" t="s">
        <v>18</v>
      </c>
      <c r="B52" s="20" t="s">
        <v>69</v>
      </c>
      <c r="C52" s="23" t="s">
        <v>158</v>
      </c>
      <c r="D52" s="23" t="s">
        <v>163</v>
      </c>
      <c r="E52" s="23">
        <v>15</v>
      </c>
      <c r="F52" s="3">
        <v>5</v>
      </c>
      <c r="G52" s="21">
        <v>6.5</v>
      </c>
      <c r="H52" s="12">
        <f>Base[[#This Row],[Valor Unit]]*Base[[#This Row],[QTD]]</f>
        <v>97.5</v>
      </c>
    </row>
    <row r="53" spans="1:8" ht="15.75" x14ac:dyDescent="0.25">
      <c r="A53" s="23" t="s">
        <v>18</v>
      </c>
      <c r="B53" s="20" t="s">
        <v>70</v>
      </c>
      <c r="C53" s="23" t="s">
        <v>158</v>
      </c>
      <c r="D53" s="23" t="s">
        <v>163</v>
      </c>
      <c r="E53" s="23">
        <v>2</v>
      </c>
      <c r="F53" s="3">
        <v>5</v>
      </c>
      <c r="G53" s="21">
        <v>25</v>
      </c>
      <c r="H53" s="12">
        <f>Base[[#This Row],[Valor Unit]]*Base[[#This Row],[QTD]]</f>
        <v>50</v>
      </c>
    </row>
    <row r="54" spans="1:8" ht="15.75" x14ac:dyDescent="0.25">
      <c r="A54" s="23" t="s">
        <v>18</v>
      </c>
      <c r="B54" s="20" t="s">
        <v>71</v>
      </c>
      <c r="C54" s="23" t="s">
        <v>158</v>
      </c>
      <c r="D54" s="23" t="s">
        <v>163</v>
      </c>
      <c r="E54" s="23">
        <v>2</v>
      </c>
      <c r="F54" s="3">
        <v>5</v>
      </c>
      <c r="G54" s="21">
        <v>25</v>
      </c>
      <c r="H54" s="12">
        <f>Base[[#This Row],[Valor Unit]]*Base[[#This Row],[QTD]]</f>
        <v>50</v>
      </c>
    </row>
    <row r="55" spans="1:8" ht="15.75" x14ac:dyDescent="0.25">
      <c r="A55" s="23" t="s">
        <v>18</v>
      </c>
      <c r="B55" s="20" t="s">
        <v>72</v>
      </c>
      <c r="C55" s="23" t="s">
        <v>158</v>
      </c>
      <c r="D55" s="23" t="s">
        <v>163</v>
      </c>
      <c r="E55" s="23">
        <v>2</v>
      </c>
      <c r="F55" s="3">
        <v>5</v>
      </c>
      <c r="G55" s="21">
        <v>25</v>
      </c>
      <c r="H55" s="12">
        <f>Base[[#This Row],[Valor Unit]]*Base[[#This Row],[QTD]]</f>
        <v>50</v>
      </c>
    </row>
    <row r="56" spans="1:8" ht="15.75" x14ac:dyDescent="0.25">
      <c r="A56" s="23" t="s">
        <v>18</v>
      </c>
      <c r="B56" s="20" t="s">
        <v>73</v>
      </c>
      <c r="C56" s="23" t="s">
        <v>158</v>
      </c>
      <c r="D56" s="23" t="s">
        <v>163</v>
      </c>
      <c r="E56" s="23">
        <v>16</v>
      </c>
      <c r="F56" s="3">
        <v>5</v>
      </c>
      <c r="G56" s="21">
        <v>8</v>
      </c>
      <c r="H56" s="12">
        <f>Base[[#This Row],[Valor Unit]]*Base[[#This Row],[QTD]]</f>
        <v>128</v>
      </c>
    </row>
    <row r="57" spans="1:8" ht="15.75" x14ac:dyDescent="0.25">
      <c r="A57" s="23" t="s">
        <v>18</v>
      </c>
      <c r="B57" s="20" t="s">
        <v>74</v>
      </c>
      <c r="C57" s="23" t="s">
        <v>158</v>
      </c>
      <c r="D57" s="23" t="s">
        <v>163</v>
      </c>
      <c r="E57" s="23">
        <v>16</v>
      </c>
      <c r="F57" s="3">
        <v>5</v>
      </c>
      <c r="G57" s="21">
        <v>8</v>
      </c>
      <c r="H57" s="12">
        <f>Base[[#This Row],[Valor Unit]]*Base[[#This Row],[QTD]]</f>
        <v>128</v>
      </c>
    </row>
    <row r="58" spans="1:8" ht="15.75" x14ac:dyDescent="0.25">
      <c r="A58" s="23" t="s">
        <v>18</v>
      </c>
      <c r="B58" s="20" t="s">
        <v>75</v>
      </c>
      <c r="C58" s="23" t="s">
        <v>158</v>
      </c>
      <c r="D58" s="23" t="s">
        <v>163</v>
      </c>
      <c r="E58" s="23">
        <v>10</v>
      </c>
      <c r="F58" s="3">
        <v>5</v>
      </c>
      <c r="G58" s="21">
        <v>8</v>
      </c>
      <c r="H58" s="12">
        <f>Base[[#This Row],[Valor Unit]]*Base[[#This Row],[QTD]]</f>
        <v>80</v>
      </c>
    </row>
    <row r="59" spans="1:8" ht="15.75" x14ac:dyDescent="0.25">
      <c r="A59" s="23" t="s">
        <v>18</v>
      </c>
      <c r="B59" s="20" t="s">
        <v>76</v>
      </c>
      <c r="C59" s="23" t="s">
        <v>159</v>
      </c>
      <c r="D59" s="23" t="s">
        <v>163</v>
      </c>
      <c r="E59" s="23">
        <v>20</v>
      </c>
      <c r="F59" s="3">
        <v>5</v>
      </c>
      <c r="G59" s="21">
        <v>3</v>
      </c>
      <c r="H59" s="12">
        <f>Base[[#This Row],[Valor Unit]]*Base[[#This Row],[QTD]]</f>
        <v>60</v>
      </c>
    </row>
    <row r="60" spans="1:8" ht="15.75" x14ac:dyDescent="0.25">
      <c r="A60" s="23" t="s">
        <v>18</v>
      </c>
      <c r="B60" s="20" t="s">
        <v>77</v>
      </c>
      <c r="C60" s="23" t="s">
        <v>159</v>
      </c>
      <c r="D60" s="23" t="s">
        <v>163</v>
      </c>
      <c r="E60" s="23">
        <v>15</v>
      </c>
      <c r="F60" s="3">
        <v>5</v>
      </c>
      <c r="G60" s="21">
        <v>3</v>
      </c>
      <c r="H60" s="12">
        <f>Base[[#This Row],[Valor Unit]]*Base[[#This Row],[QTD]]</f>
        <v>45</v>
      </c>
    </row>
    <row r="61" spans="1:8" ht="15.75" x14ac:dyDescent="0.25">
      <c r="A61" s="23" t="s">
        <v>18</v>
      </c>
      <c r="B61" s="20" t="s">
        <v>78</v>
      </c>
      <c r="C61" s="23" t="s">
        <v>159</v>
      </c>
      <c r="D61" s="23" t="s">
        <v>163</v>
      </c>
      <c r="E61" s="23">
        <v>15</v>
      </c>
      <c r="F61" s="3">
        <v>5</v>
      </c>
      <c r="G61" s="21">
        <v>3</v>
      </c>
      <c r="H61" s="12">
        <f>Base[[#This Row],[Valor Unit]]*Base[[#This Row],[QTD]]</f>
        <v>45</v>
      </c>
    </row>
    <row r="62" spans="1:8" ht="15.75" x14ac:dyDescent="0.25">
      <c r="A62" s="23" t="s">
        <v>18</v>
      </c>
      <c r="B62" s="20" t="s">
        <v>79</v>
      </c>
      <c r="C62" s="23" t="s">
        <v>159</v>
      </c>
      <c r="D62" s="23" t="s">
        <v>163</v>
      </c>
      <c r="E62" s="23">
        <v>20</v>
      </c>
      <c r="F62" s="3">
        <v>5</v>
      </c>
      <c r="G62" s="21">
        <v>3</v>
      </c>
      <c r="H62" s="12">
        <f>Base[[#This Row],[Valor Unit]]*Base[[#This Row],[QTD]]</f>
        <v>60</v>
      </c>
    </row>
    <row r="63" spans="1:8" ht="15.75" x14ac:dyDescent="0.25">
      <c r="A63" s="23" t="s">
        <v>18</v>
      </c>
      <c r="B63" s="20" t="s">
        <v>80</v>
      </c>
      <c r="C63" s="23" t="s">
        <v>159</v>
      </c>
      <c r="D63" s="23" t="s">
        <v>163</v>
      </c>
      <c r="E63" s="23">
        <v>20</v>
      </c>
      <c r="F63" s="3">
        <v>5</v>
      </c>
      <c r="G63" s="21">
        <v>3</v>
      </c>
      <c r="H63" s="12">
        <f>Base[[#This Row],[Valor Unit]]*Base[[#This Row],[QTD]]</f>
        <v>60</v>
      </c>
    </row>
    <row r="64" spans="1:8" ht="15.75" x14ac:dyDescent="0.25">
      <c r="A64" s="23" t="s">
        <v>18</v>
      </c>
      <c r="B64" s="20" t="s">
        <v>81</v>
      </c>
      <c r="C64" s="23" t="s">
        <v>159</v>
      </c>
      <c r="D64" s="23" t="s">
        <v>163</v>
      </c>
      <c r="E64" s="23">
        <v>20</v>
      </c>
      <c r="F64" s="3">
        <v>5</v>
      </c>
      <c r="G64" s="21">
        <v>3</v>
      </c>
      <c r="H64" s="12">
        <f>Base[[#This Row],[Valor Unit]]*Base[[#This Row],[QTD]]</f>
        <v>60</v>
      </c>
    </row>
    <row r="65" spans="1:8" ht="15.75" x14ac:dyDescent="0.25">
      <c r="A65" s="23" t="s">
        <v>18</v>
      </c>
      <c r="B65" s="20" t="s">
        <v>82</v>
      </c>
      <c r="C65" s="23" t="s">
        <v>159</v>
      </c>
      <c r="D65" s="23" t="s">
        <v>163</v>
      </c>
      <c r="E65" s="23">
        <v>6</v>
      </c>
      <c r="F65" s="3">
        <v>5</v>
      </c>
      <c r="G65" s="21">
        <v>2.5</v>
      </c>
      <c r="H65" s="12">
        <f>Base[[#This Row],[Valor Unit]]*Base[[#This Row],[QTD]]</f>
        <v>15</v>
      </c>
    </row>
    <row r="66" spans="1:8" ht="15.75" x14ac:dyDescent="0.25">
      <c r="A66" s="23" t="s">
        <v>18</v>
      </c>
      <c r="B66" s="20" t="s">
        <v>83</v>
      </c>
      <c r="C66" s="23" t="s">
        <v>159</v>
      </c>
      <c r="D66" s="23" t="s">
        <v>163</v>
      </c>
      <c r="E66" s="23">
        <v>20</v>
      </c>
      <c r="F66" s="3">
        <v>5</v>
      </c>
      <c r="G66" s="21">
        <v>2.5</v>
      </c>
      <c r="H66" s="12">
        <f>Base[[#This Row],[Valor Unit]]*Base[[#This Row],[QTD]]</f>
        <v>50</v>
      </c>
    </row>
    <row r="67" spans="1:8" ht="15.75" x14ac:dyDescent="0.25">
      <c r="A67" s="23" t="s">
        <v>18</v>
      </c>
      <c r="B67" s="20" t="s">
        <v>84</v>
      </c>
      <c r="C67" s="23" t="s">
        <v>159</v>
      </c>
      <c r="D67" s="23" t="s">
        <v>163</v>
      </c>
      <c r="E67" s="23">
        <v>20</v>
      </c>
      <c r="F67" s="3">
        <v>5</v>
      </c>
      <c r="G67" s="21">
        <v>2.5</v>
      </c>
      <c r="H67" s="12">
        <f>Base[[#This Row],[Valor Unit]]*Base[[#This Row],[QTD]]</f>
        <v>50</v>
      </c>
    </row>
    <row r="68" spans="1:8" ht="15.75" x14ac:dyDescent="0.25">
      <c r="A68" s="23" t="s">
        <v>18</v>
      </c>
      <c r="B68" s="20" t="s">
        <v>85</v>
      </c>
      <c r="C68" s="23" t="s">
        <v>160</v>
      </c>
      <c r="D68" s="23" t="s">
        <v>162</v>
      </c>
      <c r="E68" s="23">
        <v>7</v>
      </c>
      <c r="F68" s="3">
        <v>5</v>
      </c>
      <c r="G68" s="21">
        <v>30</v>
      </c>
      <c r="H68" s="12">
        <f>Base[[#This Row],[Valor Unit]]*Base[[#This Row],[QTD]]</f>
        <v>210</v>
      </c>
    </row>
    <row r="69" spans="1:8" ht="15.75" x14ac:dyDescent="0.25">
      <c r="A69" s="23" t="s">
        <v>18</v>
      </c>
      <c r="B69" s="20" t="s">
        <v>86</v>
      </c>
      <c r="C69" s="23" t="s">
        <v>161</v>
      </c>
      <c r="D69" s="23" t="s">
        <v>162</v>
      </c>
      <c r="E69" s="23">
        <v>2</v>
      </c>
      <c r="F69" s="3">
        <v>5</v>
      </c>
      <c r="G69" s="21">
        <v>65</v>
      </c>
      <c r="H69" s="12">
        <f>Base[[#This Row],[Valor Unit]]*Base[[#This Row],[QTD]]</f>
        <v>130</v>
      </c>
    </row>
    <row r="70" spans="1:8" ht="15.75" x14ac:dyDescent="0.25">
      <c r="A70" s="23" t="s">
        <v>18</v>
      </c>
      <c r="B70" s="20" t="s">
        <v>87</v>
      </c>
      <c r="C70" s="23" t="s">
        <v>161</v>
      </c>
      <c r="D70" s="23" t="s">
        <v>162</v>
      </c>
      <c r="E70" s="23">
        <v>2</v>
      </c>
      <c r="F70" s="3">
        <v>5</v>
      </c>
      <c r="G70" s="21">
        <v>50</v>
      </c>
      <c r="H70" s="12">
        <f>Base[[#This Row],[Valor Unit]]*Base[[#This Row],[QTD]]</f>
        <v>100</v>
      </c>
    </row>
    <row r="71" spans="1:8" ht="15.75" x14ac:dyDescent="0.25">
      <c r="A71" s="23" t="s">
        <v>18</v>
      </c>
      <c r="B71" s="20" t="s">
        <v>88</v>
      </c>
      <c r="C71" s="23" t="s">
        <v>159</v>
      </c>
      <c r="D71" s="23" t="s">
        <v>162</v>
      </c>
      <c r="E71" s="23">
        <v>1</v>
      </c>
      <c r="F71" s="3">
        <v>5</v>
      </c>
      <c r="G71" s="21">
        <v>125</v>
      </c>
      <c r="H71" s="12">
        <f>Base[[#This Row],[Valor Unit]]*Base[[#This Row],[QTD]]</f>
        <v>125</v>
      </c>
    </row>
    <row r="72" spans="1:8" ht="15.75" x14ac:dyDescent="0.25">
      <c r="A72" s="23" t="s">
        <v>18</v>
      </c>
      <c r="B72" s="20" t="s">
        <v>89</v>
      </c>
      <c r="C72" s="23" t="s">
        <v>159</v>
      </c>
      <c r="D72" s="23" t="s">
        <v>163</v>
      </c>
      <c r="E72" s="23">
        <v>5</v>
      </c>
      <c r="F72" s="3">
        <v>5</v>
      </c>
      <c r="G72" s="21">
        <v>5</v>
      </c>
      <c r="H72" s="12">
        <f>Base[[#This Row],[Valor Unit]]*Base[[#This Row],[QTD]]</f>
        <v>25</v>
      </c>
    </row>
    <row r="73" spans="1:8" ht="15.75" x14ac:dyDescent="0.25">
      <c r="A73" s="23" t="s">
        <v>18</v>
      </c>
      <c r="B73" s="20" t="s">
        <v>90</v>
      </c>
      <c r="C73" s="23" t="s">
        <v>159</v>
      </c>
      <c r="D73" s="23" t="s">
        <v>162</v>
      </c>
      <c r="E73" s="23">
        <v>2</v>
      </c>
      <c r="F73" s="3">
        <v>5</v>
      </c>
      <c r="G73" s="21">
        <v>50</v>
      </c>
      <c r="H73" s="12">
        <f>Base[[#This Row],[Valor Unit]]*Base[[#This Row],[QTD]]</f>
        <v>100</v>
      </c>
    </row>
    <row r="74" spans="1:8" ht="15.75" x14ac:dyDescent="0.25">
      <c r="A74" s="23" t="s">
        <v>18</v>
      </c>
      <c r="B74" s="20" t="s">
        <v>91</v>
      </c>
      <c r="C74" s="23" t="s">
        <v>159</v>
      </c>
      <c r="D74" s="23" t="s">
        <v>162</v>
      </c>
      <c r="E74" s="23">
        <v>2</v>
      </c>
      <c r="F74" s="3">
        <v>5</v>
      </c>
      <c r="G74" s="21">
        <v>50</v>
      </c>
      <c r="H74" s="12">
        <f>Base[[#This Row],[Valor Unit]]*Base[[#This Row],[QTD]]</f>
        <v>100</v>
      </c>
    </row>
    <row r="75" spans="1:8" ht="15.75" x14ac:dyDescent="0.25">
      <c r="A75" s="23" t="s">
        <v>18</v>
      </c>
      <c r="B75" s="20" t="s">
        <v>92</v>
      </c>
      <c r="C75" s="23" t="s">
        <v>159</v>
      </c>
      <c r="D75" s="23" t="s">
        <v>162</v>
      </c>
      <c r="E75" s="23">
        <v>2</v>
      </c>
      <c r="F75" s="3">
        <v>5</v>
      </c>
      <c r="G75" s="21">
        <v>50</v>
      </c>
      <c r="H75" s="12">
        <f>Base[[#This Row],[Valor Unit]]*Base[[#This Row],[QTD]]</f>
        <v>100</v>
      </c>
    </row>
    <row r="76" spans="1:8" ht="15.75" x14ac:dyDescent="0.25">
      <c r="A76" s="23" t="s">
        <v>18</v>
      </c>
      <c r="B76" s="20" t="s">
        <v>93</v>
      </c>
      <c r="C76" s="23" t="s">
        <v>159</v>
      </c>
      <c r="D76" s="23" t="s">
        <v>162</v>
      </c>
      <c r="E76" s="23">
        <v>2</v>
      </c>
      <c r="F76" s="3">
        <v>5</v>
      </c>
      <c r="G76" s="21">
        <v>50</v>
      </c>
      <c r="H76" s="12">
        <f>Base[[#This Row],[Valor Unit]]*Base[[#This Row],[QTD]]</f>
        <v>100</v>
      </c>
    </row>
    <row r="77" spans="1:8" ht="15.75" x14ac:dyDescent="0.25">
      <c r="A77" s="23" t="s">
        <v>18</v>
      </c>
      <c r="B77" s="20" t="s">
        <v>94</v>
      </c>
      <c r="C77" s="23" t="s">
        <v>160</v>
      </c>
      <c r="D77" s="23" t="s">
        <v>162</v>
      </c>
      <c r="E77" s="23">
        <v>10</v>
      </c>
      <c r="F77" s="3">
        <v>5</v>
      </c>
      <c r="G77" s="21">
        <v>3</v>
      </c>
      <c r="H77" s="12">
        <f>Base[[#This Row],[Valor Unit]]*Base[[#This Row],[QTD]]</f>
        <v>30</v>
      </c>
    </row>
    <row r="78" spans="1:8" ht="15.75" x14ac:dyDescent="0.25">
      <c r="A78" s="23" t="s">
        <v>18</v>
      </c>
      <c r="B78" s="20" t="s">
        <v>95</v>
      </c>
      <c r="C78" s="23" t="s">
        <v>160</v>
      </c>
      <c r="D78" s="23" t="s">
        <v>162</v>
      </c>
      <c r="E78" s="23">
        <v>1</v>
      </c>
      <c r="F78" s="3">
        <v>5</v>
      </c>
      <c r="G78" s="21">
        <v>40</v>
      </c>
      <c r="H78" s="12">
        <f>Base[[#This Row],[Valor Unit]]*Base[[#This Row],[QTD]]</f>
        <v>40</v>
      </c>
    </row>
    <row r="79" spans="1:8" ht="15.75" x14ac:dyDescent="0.25">
      <c r="A79" s="23" t="s">
        <v>18</v>
      </c>
      <c r="B79" s="20" t="s">
        <v>96</v>
      </c>
      <c r="C79" s="23" t="s">
        <v>160</v>
      </c>
      <c r="D79" s="23" t="s">
        <v>163</v>
      </c>
      <c r="E79" s="23">
        <v>5</v>
      </c>
      <c r="F79" s="3">
        <v>5</v>
      </c>
      <c r="G79" s="21">
        <v>25</v>
      </c>
      <c r="H79" s="12">
        <f>Base[[#This Row],[Valor Unit]]*Base[[#This Row],[QTD]]</f>
        <v>125</v>
      </c>
    </row>
    <row r="80" spans="1:8" ht="15.75" x14ac:dyDescent="0.25">
      <c r="A80" s="23" t="s">
        <v>18</v>
      </c>
      <c r="B80" s="20" t="s">
        <v>97</v>
      </c>
      <c r="C80" s="23" t="s">
        <v>160</v>
      </c>
      <c r="D80" s="23" t="s">
        <v>163</v>
      </c>
      <c r="E80" s="23">
        <v>5</v>
      </c>
      <c r="F80" s="3">
        <v>5</v>
      </c>
      <c r="G80" s="21">
        <v>15</v>
      </c>
      <c r="H80" s="12">
        <f>Base[[#This Row],[Valor Unit]]*Base[[#This Row],[QTD]]</f>
        <v>75</v>
      </c>
    </row>
    <row r="81" spans="1:8" ht="15.75" x14ac:dyDescent="0.25">
      <c r="A81" s="23" t="s">
        <v>18</v>
      </c>
      <c r="B81" s="20" t="s">
        <v>98</v>
      </c>
      <c r="C81" s="23" t="s">
        <v>159</v>
      </c>
      <c r="D81" s="23" t="s">
        <v>163</v>
      </c>
      <c r="E81" s="23">
        <v>10</v>
      </c>
      <c r="F81" s="3">
        <v>5</v>
      </c>
      <c r="G81" s="21">
        <v>8</v>
      </c>
      <c r="H81" s="12">
        <f>Base[[#This Row],[Valor Unit]]*Base[[#This Row],[QTD]]</f>
        <v>80</v>
      </c>
    </row>
    <row r="82" spans="1:8" ht="15.75" x14ac:dyDescent="0.25">
      <c r="A82" s="23" t="s">
        <v>18</v>
      </c>
      <c r="B82" s="20" t="s">
        <v>99</v>
      </c>
      <c r="C82" s="23" t="s">
        <v>159</v>
      </c>
      <c r="D82" s="23" t="s">
        <v>163</v>
      </c>
      <c r="E82" s="23">
        <v>5</v>
      </c>
      <c r="F82" s="3">
        <v>5</v>
      </c>
      <c r="G82" s="21">
        <v>6</v>
      </c>
      <c r="H82" s="12">
        <f>Base[[#This Row],[Valor Unit]]*Base[[#This Row],[QTD]]</f>
        <v>30</v>
      </c>
    </row>
    <row r="83" spans="1:8" ht="15.75" x14ac:dyDescent="0.25">
      <c r="A83" s="23" t="s">
        <v>18</v>
      </c>
      <c r="B83" s="20" t="s">
        <v>100</v>
      </c>
      <c r="C83" s="23" t="s">
        <v>159</v>
      </c>
      <c r="D83" s="23" t="s">
        <v>163</v>
      </c>
      <c r="E83" s="23">
        <v>5</v>
      </c>
      <c r="F83" s="3">
        <v>5</v>
      </c>
      <c r="G83" s="21">
        <v>5</v>
      </c>
      <c r="H83" s="12">
        <f>Base[[#This Row],[Valor Unit]]*Base[[#This Row],[QTD]]</f>
        <v>25</v>
      </c>
    </row>
    <row r="84" spans="1:8" ht="15.75" x14ac:dyDescent="0.25">
      <c r="A84" s="23" t="s">
        <v>18</v>
      </c>
      <c r="B84" s="20" t="s">
        <v>101</v>
      </c>
      <c r="C84" s="23" t="s">
        <v>159</v>
      </c>
      <c r="D84" s="23" t="s">
        <v>162</v>
      </c>
      <c r="E84" s="23">
        <v>2</v>
      </c>
      <c r="F84" s="3">
        <v>5</v>
      </c>
      <c r="G84" s="21">
        <v>67.5</v>
      </c>
      <c r="H84" s="12">
        <f>Base[[#This Row],[Valor Unit]]*Base[[#This Row],[QTD]]</f>
        <v>135</v>
      </c>
    </row>
    <row r="85" spans="1:8" ht="15.75" x14ac:dyDescent="0.25">
      <c r="A85" s="23" t="s">
        <v>18</v>
      </c>
      <c r="B85" s="20" t="s">
        <v>102</v>
      </c>
      <c r="C85" s="23" t="s">
        <v>159</v>
      </c>
      <c r="D85" s="23" t="s">
        <v>162</v>
      </c>
      <c r="E85" s="23">
        <v>2</v>
      </c>
      <c r="F85" s="3">
        <v>5</v>
      </c>
      <c r="G85" s="21">
        <v>67.5</v>
      </c>
      <c r="H85" s="12">
        <f>Base[[#This Row],[Valor Unit]]*Base[[#This Row],[QTD]]</f>
        <v>135</v>
      </c>
    </row>
    <row r="86" spans="1:8" ht="15.75" x14ac:dyDescent="0.25">
      <c r="A86" s="23" t="s">
        <v>18</v>
      </c>
      <c r="B86" s="20" t="s">
        <v>103</v>
      </c>
      <c r="C86" s="23" t="s">
        <v>159</v>
      </c>
      <c r="D86" s="23" t="s">
        <v>162</v>
      </c>
      <c r="E86" s="23">
        <v>2</v>
      </c>
      <c r="F86" s="3">
        <v>5</v>
      </c>
      <c r="G86" s="21">
        <v>67.5</v>
      </c>
      <c r="H86" s="12">
        <f>Base[[#This Row],[Valor Unit]]*Base[[#This Row],[QTD]]</f>
        <v>135</v>
      </c>
    </row>
    <row r="87" spans="1:8" ht="15.75" x14ac:dyDescent="0.25">
      <c r="A87" s="23" t="s">
        <v>18</v>
      </c>
      <c r="B87" s="20" t="s">
        <v>104</v>
      </c>
      <c r="C87" s="23" t="s">
        <v>159</v>
      </c>
      <c r="D87" s="23" t="s">
        <v>162</v>
      </c>
      <c r="E87" s="23">
        <v>15</v>
      </c>
      <c r="F87" s="3">
        <v>5</v>
      </c>
      <c r="G87" s="21">
        <v>4.5</v>
      </c>
      <c r="H87" s="12">
        <f>Base[[#This Row],[Valor Unit]]*Base[[#This Row],[QTD]]</f>
        <v>67.5</v>
      </c>
    </row>
    <row r="88" spans="1:8" ht="15.75" x14ac:dyDescent="0.25">
      <c r="A88" s="23" t="s">
        <v>18</v>
      </c>
      <c r="B88" s="20" t="s">
        <v>105</v>
      </c>
      <c r="C88" s="23" t="s">
        <v>159</v>
      </c>
      <c r="D88" s="23" t="s">
        <v>162</v>
      </c>
      <c r="E88" s="23">
        <v>15</v>
      </c>
      <c r="F88" s="3">
        <v>5</v>
      </c>
      <c r="G88" s="21">
        <v>3</v>
      </c>
      <c r="H88" s="12">
        <f>Base[[#This Row],[Valor Unit]]*Base[[#This Row],[QTD]]</f>
        <v>45</v>
      </c>
    </row>
    <row r="89" spans="1:8" ht="15.75" x14ac:dyDescent="0.25">
      <c r="A89" s="23" t="s">
        <v>18</v>
      </c>
      <c r="B89" s="20" t="s">
        <v>106</v>
      </c>
      <c r="C89" s="23" t="s">
        <v>158</v>
      </c>
      <c r="D89" s="23" t="s">
        <v>162</v>
      </c>
      <c r="E89" s="23">
        <v>10</v>
      </c>
      <c r="F89" s="3">
        <v>5</v>
      </c>
      <c r="G89" s="21">
        <v>60</v>
      </c>
      <c r="H89" s="12">
        <f>Base[[#This Row],[Valor Unit]]*Base[[#This Row],[QTD]]</f>
        <v>600</v>
      </c>
    </row>
    <row r="90" spans="1:8" ht="15.75" x14ac:dyDescent="0.25">
      <c r="A90" s="23" t="s">
        <v>18</v>
      </c>
      <c r="B90" s="20" t="s">
        <v>107</v>
      </c>
      <c r="C90" s="23" t="s">
        <v>158</v>
      </c>
      <c r="D90" s="23" t="s">
        <v>162</v>
      </c>
      <c r="E90" s="23">
        <v>2</v>
      </c>
      <c r="F90" s="3">
        <v>5</v>
      </c>
      <c r="G90" s="21">
        <v>54</v>
      </c>
      <c r="H90" s="12">
        <f>Base[[#This Row],[Valor Unit]]*Base[[#This Row],[QTD]]</f>
        <v>108</v>
      </c>
    </row>
    <row r="91" spans="1:8" ht="15.75" x14ac:dyDescent="0.25">
      <c r="A91" s="23" t="s">
        <v>18</v>
      </c>
      <c r="B91" s="20" t="s">
        <v>108</v>
      </c>
      <c r="C91" s="23" t="s">
        <v>158</v>
      </c>
      <c r="D91" s="23" t="s">
        <v>162</v>
      </c>
      <c r="E91" s="23">
        <v>3</v>
      </c>
      <c r="F91" s="3">
        <v>5</v>
      </c>
      <c r="G91" s="21">
        <v>54</v>
      </c>
      <c r="H91" s="12">
        <f>Base[[#This Row],[Valor Unit]]*Base[[#This Row],[QTD]]</f>
        <v>162</v>
      </c>
    </row>
    <row r="92" spans="1:8" ht="15.75" x14ac:dyDescent="0.25">
      <c r="A92" s="23" t="s">
        <v>18</v>
      </c>
      <c r="B92" s="20" t="s">
        <v>109</v>
      </c>
      <c r="C92" s="23" t="s">
        <v>158</v>
      </c>
      <c r="D92" s="23" t="s">
        <v>162</v>
      </c>
      <c r="E92" s="23">
        <v>3</v>
      </c>
      <c r="F92" s="3">
        <v>5</v>
      </c>
      <c r="G92" s="21">
        <v>54</v>
      </c>
      <c r="H92" s="12">
        <f>Base[[#This Row],[Valor Unit]]*Base[[#This Row],[QTD]]</f>
        <v>162</v>
      </c>
    </row>
    <row r="93" spans="1:8" ht="15.75" x14ac:dyDescent="0.25">
      <c r="A93" s="23" t="s">
        <v>18</v>
      </c>
      <c r="B93" s="20" t="s">
        <v>110</v>
      </c>
      <c r="C93" s="23" t="s">
        <v>158</v>
      </c>
      <c r="D93" s="23" t="s">
        <v>162</v>
      </c>
      <c r="E93" s="23">
        <v>3</v>
      </c>
      <c r="F93" s="3">
        <v>5</v>
      </c>
      <c r="G93" s="21">
        <v>54</v>
      </c>
      <c r="H93" s="12">
        <f>Base[[#This Row],[Valor Unit]]*Base[[#This Row],[QTD]]</f>
        <v>162</v>
      </c>
    </row>
    <row r="94" spans="1:8" ht="15.75" x14ac:dyDescent="0.25">
      <c r="A94" s="23" t="s">
        <v>18</v>
      </c>
      <c r="B94" s="20" t="s">
        <v>111</v>
      </c>
      <c r="C94" s="23" t="s">
        <v>158</v>
      </c>
      <c r="D94" s="23" t="s">
        <v>162</v>
      </c>
      <c r="E94" s="23">
        <v>3</v>
      </c>
      <c r="F94" s="3">
        <v>5</v>
      </c>
      <c r="G94" s="21">
        <v>42</v>
      </c>
      <c r="H94" s="12">
        <f>Base[[#This Row],[Valor Unit]]*Base[[#This Row],[QTD]]</f>
        <v>126</v>
      </c>
    </row>
    <row r="95" spans="1:8" ht="15.75" x14ac:dyDescent="0.25">
      <c r="A95" s="23" t="s">
        <v>18</v>
      </c>
      <c r="B95" s="20" t="s">
        <v>112</v>
      </c>
      <c r="C95" s="23" t="s">
        <v>158</v>
      </c>
      <c r="D95" s="23" t="s">
        <v>162</v>
      </c>
      <c r="E95" s="23">
        <v>15</v>
      </c>
      <c r="F95" s="3">
        <v>5</v>
      </c>
      <c r="G95" s="21">
        <v>90</v>
      </c>
      <c r="H95" s="12">
        <f>Base[[#This Row],[Valor Unit]]*Base[[#This Row],[QTD]]</f>
        <v>1350</v>
      </c>
    </row>
    <row r="96" spans="1:8" ht="15.75" x14ac:dyDescent="0.25">
      <c r="A96" s="23" t="s">
        <v>18</v>
      </c>
      <c r="B96" s="20" t="s">
        <v>113</v>
      </c>
      <c r="C96" s="23" t="s">
        <v>158</v>
      </c>
      <c r="D96" s="23" t="s">
        <v>162</v>
      </c>
      <c r="E96" s="23">
        <v>10</v>
      </c>
      <c r="F96" s="3">
        <v>5</v>
      </c>
      <c r="G96" s="21">
        <v>90</v>
      </c>
      <c r="H96" s="12">
        <f>Base[[#This Row],[Valor Unit]]*Base[[#This Row],[QTD]]</f>
        <v>900</v>
      </c>
    </row>
    <row r="97" spans="1:8" ht="15.75" x14ac:dyDescent="0.25">
      <c r="A97" s="23" t="s">
        <v>18</v>
      </c>
      <c r="B97" s="20" t="s">
        <v>114</v>
      </c>
      <c r="C97" s="23" t="s">
        <v>158</v>
      </c>
      <c r="D97" s="23" t="s">
        <v>162</v>
      </c>
      <c r="E97" s="23">
        <v>4</v>
      </c>
      <c r="F97" s="3">
        <v>5</v>
      </c>
      <c r="G97" s="21">
        <v>72</v>
      </c>
      <c r="H97" s="12">
        <f>Base[[#This Row],[Valor Unit]]*Base[[#This Row],[QTD]]</f>
        <v>288</v>
      </c>
    </row>
    <row r="98" spans="1:8" ht="15.75" x14ac:dyDescent="0.25">
      <c r="A98" s="23" t="s">
        <v>18</v>
      </c>
      <c r="B98" s="20" t="s">
        <v>115</v>
      </c>
      <c r="C98" s="23" t="s">
        <v>158</v>
      </c>
      <c r="D98" s="23" t="s">
        <v>162</v>
      </c>
      <c r="E98" s="23">
        <v>16</v>
      </c>
      <c r="F98" s="3">
        <v>5</v>
      </c>
      <c r="G98" s="21">
        <v>30</v>
      </c>
      <c r="H98" s="12">
        <f>Base[[#This Row],[Valor Unit]]*Base[[#This Row],[QTD]]</f>
        <v>480</v>
      </c>
    </row>
    <row r="99" spans="1:8" ht="15.75" x14ac:dyDescent="0.25">
      <c r="A99" s="23" t="s">
        <v>18</v>
      </c>
      <c r="B99" s="20" t="s">
        <v>116</v>
      </c>
      <c r="C99" s="23" t="s">
        <v>158</v>
      </c>
      <c r="D99" s="23" t="s">
        <v>162</v>
      </c>
      <c r="E99" s="23">
        <v>3</v>
      </c>
      <c r="F99" s="3">
        <v>5</v>
      </c>
      <c r="G99" s="21">
        <v>120</v>
      </c>
      <c r="H99" s="12">
        <f>Base[[#This Row],[Valor Unit]]*Base[[#This Row],[QTD]]</f>
        <v>360</v>
      </c>
    </row>
    <row r="100" spans="1:8" ht="15.75" x14ac:dyDescent="0.25">
      <c r="A100" s="23" t="s">
        <v>18</v>
      </c>
      <c r="B100" s="20" t="s">
        <v>117</v>
      </c>
      <c r="C100" s="23" t="s">
        <v>158</v>
      </c>
      <c r="D100" s="23" t="s">
        <v>162</v>
      </c>
      <c r="E100" s="23">
        <v>5</v>
      </c>
      <c r="F100" s="3">
        <v>5</v>
      </c>
      <c r="G100" s="21">
        <v>25</v>
      </c>
      <c r="H100" s="12">
        <f>Base[[#This Row],[Valor Unit]]*Base[[#This Row],[QTD]]</f>
        <v>125</v>
      </c>
    </row>
    <row r="101" spans="1:8" ht="15.75" x14ac:dyDescent="0.25">
      <c r="A101" s="23" t="s">
        <v>18</v>
      </c>
      <c r="B101" s="20" t="s">
        <v>118</v>
      </c>
      <c r="C101" s="23" t="s">
        <v>158</v>
      </c>
      <c r="D101" s="23" t="s">
        <v>163</v>
      </c>
      <c r="E101" s="23">
        <v>2</v>
      </c>
      <c r="F101" s="3">
        <v>5</v>
      </c>
      <c r="G101" s="21">
        <v>20</v>
      </c>
      <c r="H101" s="12">
        <f>Base[[#This Row],[Valor Unit]]*Base[[#This Row],[QTD]]</f>
        <v>40</v>
      </c>
    </row>
    <row r="102" spans="1:8" ht="15.75" x14ac:dyDescent="0.25">
      <c r="A102" s="23" t="s">
        <v>18</v>
      </c>
      <c r="B102" s="20" t="s">
        <v>119</v>
      </c>
      <c r="C102" s="23" t="s">
        <v>158</v>
      </c>
      <c r="D102" s="23" t="s">
        <v>163</v>
      </c>
      <c r="E102" s="23">
        <v>4</v>
      </c>
      <c r="F102" s="3">
        <v>5</v>
      </c>
      <c r="G102" s="21">
        <v>20</v>
      </c>
      <c r="H102" s="12">
        <f>Base[[#This Row],[Valor Unit]]*Base[[#This Row],[QTD]]</f>
        <v>80</v>
      </c>
    </row>
    <row r="103" spans="1:8" ht="15.75" x14ac:dyDescent="0.25">
      <c r="A103" s="23" t="s">
        <v>18</v>
      </c>
      <c r="B103" s="20" t="s">
        <v>120</v>
      </c>
      <c r="C103" s="23" t="s">
        <v>158</v>
      </c>
      <c r="D103" s="23" t="s">
        <v>163</v>
      </c>
      <c r="E103" s="23">
        <v>2</v>
      </c>
      <c r="F103" s="3">
        <v>5</v>
      </c>
      <c r="G103" s="21">
        <v>25</v>
      </c>
      <c r="H103" s="12">
        <f>Base[[#This Row],[Valor Unit]]*Base[[#This Row],[QTD]]</f>
        <v>50</v>
      </c>
    </row>
    <row r="104" spans="1:8" ht="15.75" x14ac:dyDescent="0.25">
      <c r="A104" s="23" t="s">
        <v>18</v>
      </c>
      <c r="B104" s="20" t="s">
        <v>121</v>
      </c>
      <c r="C104" s="23" t="s">
        <v>158</v>
      </c>
      <c r="D104" s="23" t="s">
        <v>163</v>
      </c>
      <c r="E104" s="23">
        <v>2</v>
      </c>
      <c r="F104" s="3">
        <v>5</v>
      </c>
      <c r="G104" s="21">
        <v>35</v>
      </c>
      <c r="H104" s="12">
        <f>Base[[#This Row],[Valor Unit]]*Base[[#This Row],[QTD]]</f>
        <v>70</v>
      </c>
    </row>
    <row r="105" spans="1:8" ht="15.75" x14ac:dyDescent="0.25">
      <c r="A105" s="23" t="s">
        <v>18</v>
      </c>
      <c r="B105" s="20" t="s">
        <v>122</v>
      </c>
      <c r="C105" s="23" t="s">
        <v>158</v>
      </c>
      <c r="D105" s="23" t="s">
        <v>163</v>
      </c>
      <c r="E105" s="23">
        <v>10</v>
      </c>
      <c r="F105" s="3">
        <v>5</v>
      </c>
      <c r="G105" s="21">
        <v>18</v>
      </c>
      <c r="H105" s="12">
        <f>Base[[#This Row],[Valor Unit]]*Base[[#This Row],[QTD]]</f>
        <v>180</v>
      </c>
    </row>
    <row r="106" spans="1:8" ht="15.75" x14ac:dyDescent="0.25">
      <c r="A106" s="23" t="s">
        <v>18</v>
      </c>
      <c r="B106" s="20" t="s">
        <v>123</v>
      </c>
      <c r="C106" s="23" t="s">
        <v>158</v>
      </c>
      <c r="D106" s="23" t="s">
        <v>163</v>
      </c>
      <c r="E106" s="23">
        <v>10</v>
      </c>
      <c r="F106" s="3">
        <v>5</v>
      </c>
      <c r="G106" s="21">
        <v>20</v>
      </c>
      <c r="H106" s="12">
        <f>Base[[#This Row],[Valor Unit]]*Base[[#This Row],[QTD]]</f>
        <v>200</v>
      </c>
    </row>
    <row r="107" spans="1:8" ht="15.75" x14ac:dyDescent="0.25">
      <c r="A107" s="23" t="s">
        <v>18</v>
      </c>
      <c r="B107" s="20" t="s">
        <v>124</v>
      </c>
      <c r="C107" s="23" t="s">
        <v>158</v>
      </c>
      <c r="D107" s="23" t="s">
        <v>163</v>
      </c>
      <c r="E107" s="23">
        <v>2</v>
      </c>
      <c r="F107" s="3">
        <v>5</v>
      </c>
      <c r="G107" s="21">
        <v>20</v>
      </c>
      <c r="H107" s="12">
        <f>Base[[#This Row],[Valor Unit]]*Base[[#This Row],[QTD]]</f>
        <v>40</v>
      </c>
    </row>
    <row r="108" spans="1:8" ht="15.75" x14ac:dyDescent="0.25">
      <c r="A108" s="23" t="s">
        <v>18</v>
      </c>
      <c r="B108" s="20" t="s">
        <v>125</v>
      </c>
      <c r="C108" s="23" t="s">
        <v>158</v>
      </c>
      <c r="D108" s="23" t="s">
        <v>163</v>
      </c>
      <c r="E108" s="23">
        <v>5</v>
      </c>
      <c r="F108" s="3">
        <v>5</v>
      </c>
      <c r="G108" s="21">
        <v>30</v>
      </c>
      <c r="H108" s="12">
        <f>Base[[#This Row],[Valor Unit]]*Base[[#This Row],[QTD]]</f>
        <v>150</v>
      </c>
    </row>
    <row r="109" spans="1:8" ht="15.75" x14ac:dyDescent="0.25">
      <c r="A109" s="23" t="s">
        <v>18</v>
      </c>
      <c r="B109" s="20" t="s">
        <v>126</v>
      </c>
      <c r="C109" s="23" t="s">
        <v>158</v>
      </c>
      <c r="D109" s="23" t="s">
        <v>162</v>
      </c>
      <c r="E109" s="23">
        <v>7</v>
      </c>
      <c r="F109" s="3">
        <v>5</v>
      </c>
      <c r="G109" s="21">
        <v>36</v>
      </c>
      <c r="H109" s="12">
        <f>Base[[#This Row],[Valor Unit]]*Base[[#This Row],[QTD]]</f>
        <v>252</v>
      </c>
    </row>
    <row r="110" spans="1:8" ht="15.75" x14ac:dyDescent="0.25">
      <c r="A110" s="23" t="s">
        <v>18</v>
      </c>
      <c r="B110" s="20" t="s">
        <v>127</v>
      </c>
      <c r="C110" s="23" t="s">
        <v>158</v>
      </c>
      <c r="D110" s="23" t="s">
        <v>162</v>
      </c>
      <c r="E110" s="23">
        <v>2</v>
      </c>
      <c r="F110" s="3">
        <v>5</v>
      </c>
      <c r="G110" s="21">
        <v>72</v>
      </c>
      <c r="H110" s="12">
        <f>Base[[#This Row],[Valor Unit]]*Base[[#This Row],[QTD]]</f>
        <v>144</v>
      </c>
    </row>
    <row r="111" spans="1:8" ht="15.75" x14ac:dyDescent="0.25">
      <c r="A111" s="23" t="s">
        <v>18</v>
      </c>
      <c r="B111" s="20" t="s">
        <v>128</v>
      </c>
      <c r="C111" s="23" t="s">
        <v>158</v>
      </c>
      <c r="D111" s="23" t="s">
        <v>162</v>
      </c>
      <c r="E111" s="23">
        <v>2</v>
      </c>
      <c r="F111" s="3">
        <v>5</v>
      </c>
      <c r="G111" s="21">
        <v>72</v>
      </c>
      <c r="H111" s="12">
        <f>Base[[#This Row],[Valor Unit]]*Base[[#This Row],[QTD]]</f>
        <v>144</v>
      </c>
    </row>
    <row r="112" spans="1:8" ht="15.75" x14ac:dyDescent="0.25">
      <c r="A112" s="23" t="s">
        <v>18</v>
      </c>
      <c r="B112" s="20" t="s">
        <v>129</v>
      </c>
      <c r="C112" s="23" t="s">
        <v>158</v>
      </c>
      <c r="D112" s="23" t="s">
        <v>162</v>
      </c>
      <c r="E112" s="23">
        <v>6</v>
      </c>
      <c r="F112" s="3">
        <v>5</v>
      </c>
      <c r="G112" s="21">
        <v>72</v>
      </c>
      <c r="H112" s="12">
        <f>Base[[#This Row],[Valor Unit]]*Base[[#This Row],[QTD]]</f>
        <v>432</v>
      </c>
    </row>
    <row r="113" spans="1:8" ht="15.75" x14ac:dyDescent="0.25">
      <c r="A113" s="23" t="s">
        <v>18</v>
      </c>
      <c r="B113" s="20" t="s">
        <v>130</v>
      </c>
      <c r="C113" s="23" t="s">
        <v>158</v>
      </c>
      <c r="D113" s="23" t="s">
        <v>162</v>
      </c>
      <c r="E113" s="23">
        <v>6</v>
      </c>
      <c r="F113" s="3">
        <v>5</v>
      </c>
      <c r="G113" s="21">
        <v>60</v>
      </c>
      <c r="H113" s="12">
        <f>Base[[#This Row],[Valor Unit]]*Base[[#This Row],[QTD]]</f>
        <v>360</v>
      </c>
    </row>
    <row r="114" spans="1:8" ht="15.75" x14ac:dyDescent="0.25">
      <c r="A114" s="23" t="s">
        <v>18</v>
      </c>
      <c r="B114" s="20" t="s">
        <v>131</v>
      </c>
      <c r="C114" s="23" t="s">
        <v>158</v>
      </c>
      <c r="D114" s="23" t="s">
        <v>162</v>
      </c>
      <c r="E114" s="23">
        <v>6</v>
      </c>
      <c r="F114" s="3">
        <v>5</v>
      </c>
      <c r="G114" s="21">
        <v>72</v>
      </c>
      <c r="H114" s="12">
        <f>Base[[#This Row],[Valor Unit]]*Base[[#This Row],[QTD]]</f>
        <v>432</v>
      </c>
    </row>
    <row r="115" spans="1:8" ht="15.75" x14ac:dyDescent="0.25">
      <c r="A115" s="23" t="s">
        <v>18</v>
      </c>
      <c r="B115" s="20" t="s">
        <v>132</v>
      </c>
      <c r="C115" s="23" t="s">
        <v>158</v>
      </c>
      <c r="D115" s="23" t="s">
        <v>163</v>
      </c>
      <c r="E115" s="23">
        <v>1</v>
      </c>
      <c r="F115" s="3">
        <v>5</v>
      </c>
      <c r="G115" s="21">
        <v>15</v>
      </c>
      <c r="H115" s="12">
        <f>Base[[#This Row],[Valor Unit]]*Base[[#This Row],[QTD]]</f>
        <v>15</v>
      </c>
    </row>
    <row r="116" spans="1:8" ht="15.75" x14ac:dyDescent="0.25">
      <c r="A116" s="23" t="s">
        <v>18</v>
      </c>
      <c r="B116" s="20" t="s">
        <v>133</v>
      </c>
      <c r="C116" s="23" t="s">
        <v>158</v>
      </c>
      <c r="D116" s="23" t="s">
        <v>163</v>
      </c>
      <c r="E116" s="23">
        <v>1</v>
      </c>
      <c r="F116" s="3">
        <v>5</v>
      </c>
      <c r="G116" s="21">
        <v>25</v>
      </c>
      <c r="H116" s="12">
        <f>Base[[#This Row],[Valor Unit]]*Base[[#This Row],[QTD]]</f>
        <v>25</v>
      </c>
    </row>
    <row r="117" spans="1:8" ht="15.75" x14ac:dyDescent="0.25">
      <c r="A117" s="23" t="s">
        <v>18</v>
      </c>
      <c r="B117" s="20" t="s">
        <v>134</v>
      </c>
      <c r="C117" s="23" t="s">
        <v>158</v>
      </c>
      <c r="D117" s="23" t="s">
        <v>163</v>
      </c>
      <c r="E117" s="23">
        <v>1</v>
      </c>
      <c r="F117" s="3">
        <v>5</v>
      </c>
      <c r="G117" s="21">
        <v>15</v>
      </c>
      <c r="H117" s="12">
        <f>Base[[#This Row],[Valor Unit]]*Base[[#This Row],[QTD]]</f>
        <v>15</v>
      </c>
    </row>
    <row r="118" spans="1:8" ht="15.75" x14ac:dyDescent="0.25">
      <c r="A118" s="23" t="s">
        <v>18</v>
      </c>
      <c r="B118" s="20" t="s">
        <v>135</v>
      </c>
      <c r="C118" s="23" t="s">
        <v>161</v>
      </c>
      <c r="D118" s="23" t="s">
        <v>163</v>
      </c>
      <c r="E118" s="23">
        <v>12</v>
      </c>
      <c r="F118" s="3">
        <v>5</v>
      </c>
      <c r="G118" s="21">
        <v>25</v>
      </c>
      <c r="H118" s="12">
        <f>Base[[#This Row],[Valor Unit]]*Base[[#This Row],[QTD]]</f>
        <v>300</v>
      </c>
    </row>
    <row r="119" spans="1:8" ht="15.75" x14ac:dyDescent="0.25">
      <c r="A119" s="23" t="s">
        <v>18</v>
      </c>
      <c r="B119" s="20" t="s">
        <v>136</v>
      </c>
      <c r="C119" s="23" t="s">
        <v>161</v>
      </c>
      <c r="D119" s="23" t="s">
        <v>163</v>
      </c>
      <c r="E119" s="23">
        <v>25</v>
      </c>
      <c r="F119" s="3">
        <v>5</v>
      </c>
      <c r="G119" s="21">
        <v>15</v>
      </c>
      <c r="H119" s="12">
        <f>Base[[#This Row],[Valor Unit]]*Base[[#This Row],[QTD]]</f>
        <v>375</v>
      </c>
    </row>
    <row r="120" spans="1:8" ht="15.75" x14ac:dyDescent="0.25">
      <c r="A120" s="23" t="s">
        <v>18</v>
      </c>
      <c r="B120" s="20" t="s">
        <v>137</v>
      </c>
      <c r="C120" s="23" t="s">
        <v>161</v>
      </c>
      <c r="D120" s="23" t="s">
        <v>162</v>
      </c>
      <c r="E120" s="23">
        <v>3</v>
      </c>
      <c r="F120" s="3">
        <v>5</v>
      </c>
      <c r="G120" s="21">
        <v>125</v>
      </c>
      <c r="H120" s="12">
        <f>Base[[#This Row],[Valor Unit]]*Base[[#This Row],[QTD]]</f>
        <v>375</v>
      </c>
    </row>
    <row r="121" spans="1:8" ht="15.75" x14ac:dyDescent="0.25">
      <c r="A121" s="23" t="s">
        <v>18</v>
      </c>
      <c r="B121" s="20" t="s">
        <v>138</v>
      </c>
      <c r="C121" s="23" t="s">
        <v>161</v>
      </c>
      <c r="D121" s="23" t="s">
        <v>162</v>
      </c>
      <c r="E121" s="23">
        <v>3</v>
      </c>
      <c r="F121" s="3">
        <v>5</v>
      </c>
      <c r="G121" s="21">
        <v>250</v>
      </c>
      <c r="H121" s="12">
        <f>Base[[#This Row],[Valor Unit]]*Base[[#This Row],[QTD]]</f>
        <v>750</v>
      </c>
    </row>
    <row r="122" spans="1:8" ht="15.75" x14ac:dyDescent="0.25">
      <c r="A122" s="23" t="s">
        <v>18</v>
      </c>
      <c r="B122" s="20" t="s">
        <v>139</v>
      </c>
      <c r="C122" s="23" t="s">
        <v>161</v>
      </c>
      <c r="D122" s="23" t="s">
        <v>162</v>
      </c>
      <c r="E122" s="23">
        <v>2</v>
      </c>
      <c r="F122" s="3">
        <v>5</v>
      </c>
      <c r="G122" s="21">
        <v>150</v>
      </c>
      <c r="H122" s="12">
        <f>Base[[#This Row],[Valor Unit]]*Base[[#This Row],[QTD]]</f>
        <v>300</v>
      </c>
    </row>
    <row r="123" spans="1:8" ht="15.75" x14ac:dyDescent="0.25">
      <c r="A123" s="23" t="s">
        <v>18</v>
      </c>
      <c r="B123" s="20" t="s">
        <v>140</v>
      </c>
      <c r="C123" s="23" t="s">
        <v>159</v>
      </c>
      <c r="D123" s="23" t="s">
        <v>163</v>
      </c>
      <c r="E123" s="23">
        <v>10</v>
      </c>
      <c r="F123" s="3">
        <v>5</v>
      </c>
      <c r="G123" s="21">
        <v>8</v>
      </c>
      <c r="H123" s="12">
        <f>Base[[#This Row],[Valor Unit]]*Base[[#This Row],[QTD]]</f>
        <v>80</v>
      </c>
    </row>
    <row r="124" spans="1:8" ht="15.75" x14ac:dyDescent="0.25">
      <c r="A124" s="23" t="s">
        <v>18</v>
      </c>
      <c r="B124" s="20" t="s">
        <v>141</v>
      </c>
      <c r="C124" s="23" t="s">
        <v>159</v>
      </c>
      <c r="D124" s="23" t="s">
        <v>163</v>
      </c>
      <c r="E124" s="23">
        <v>10</v>
      </c>
      <c r="F124" s="3">
        <v>5</v>
      </c>
      <c r="G124" s="21">
        <v>5</v>
      </c>
      <c r="H124" s="12">
        <f>Base[[#This Row],[Valor Unit]]*Base[[#This Row],[QTD]]</f>
        <v>50</v>
      </c>
    </row>
    <row r="125" spans="1:8" ht="15.75" x14ac:dyDescent="0.25">
      <c r="A125" s="23" t="s">
        <v>18</v>
      </c>
      <c r="B125" s="20" t="s">
        <v>142</v>
      </c>
      <c r="C125" s="23" t="s">
        <v>159</v>
      </c>
      <c r="D125" s="23" t="s">
        <v>163</v>
      </c>
      <c r="E125" s="23">
        <v>10</v>
      </c>
      <c r="F125" s="3">
        <v>5</v>
      </c>
      <c r="G125" s="21">
        <v>4.5</v>
      </c>
      <c r="H125" s="12">
        <f>Base[[#This Row],[Valor Unit]]*Base[[#This Row],[QTD]]</f>
        <v>45</v>
      </c>
    </row>
    <row r="126" spans="1:8" ht="15.75" x14ac:dyDescent="0.25">
      <c r="A126" s="23" t="s">
        <v>18</v>
      </c>
      <c r="B126" s="20" t="s">
        <v>143</v>
      </c>
      <c r="C126" s="23" t="s">
        <v>159</v>
      </c>
      <c r="D126" s="23" t="s">
        <v>163</v>
      </c>
      <c r="E126" s="23">
        <v>10</v>
      </c>
      <c r="F126" s="3">
        <v>5</v>
      </c>
      <c r="G126" s="21">
        <v>8</v>
      </c>
      <c r="H126" s="12">
        <f>Base[[#This Row],[Valor Unit]]*Base[[#This Row],[QTD]]</f>
        <v>80</v>
      </c>
    </row>
    <row r="127" spans="1:8" ht="15.75" x14ac:dyDescent="0.25">
      <c r="A127" s="23" t="s">
        <v>18</v>
      </c>
      <c r="B127" s="20" t="s">
        <v>144</v>
      </c>
      <c r="C127" s="23" t="s">
        <v>159</v>
      </c>
      <c r="D127" s="23" t="s">
        <v>163</v>
      </c>
      <c r="E127" s="23">
        <v>50</v>
      </c>
      <c r="F127" s="3">
        <v>5</v>
      </c>
      <c r="G127" s="21">
        <v>3</v>
      </c>
      <c r="H127" s="12">
        <f>Base[[#This Row],[Valor Unit]]*Base[[#This Row],[QTD]]</f>
        <v>150</v>
      </c>
    </row>
    <row r="128" spans="1:8" ht="15.75" x14ac:dyDescent="0.25">
      <c r="A128" s="23" t="s">
        <v>18</v>
      </c>
      <c r="B128" s="20" t="s">
        <v>145</v>
      </c>
      <c r="C128" s="23" t="s">
        <v>158</v>
      </c>
      <c r="D128" s="23" t="s">
        <v>162</v>
      </c>
      <c r="E128" s="23">
        <v>3</v>
      </c>
      <c r="F128" s="3">
        <v>5</v>
      </c>
      <c r="G128" s="21">
        <v>78</v>
      </c>
      <c r="H128" s="12">
        <f>Base[[#This Row],[Valor Unit]]*Base[[#This Row],[QTD]]</f>
        <v>234</v>
      </c>
    </row>
    <row r="129" spans="1:8" ht="15.75" x14ac:dyDescent="0.25">
      <c r="A129" s="23" t="s">
        <v>18</v>
      </c>
      <c r="B129" s="20" t="s">
        <v>146</v>
      </c>
      <c r="C129" s="23" t="s">
        <v>158</v>
      </c>
      <c r="D129" s="23" t="s">
        <v>163</v>
      </c>
      <c r="E129" s="23">
        <v>9</v>
      </c>
      <c r="F129" s="3">
        <v>5</v>
      </c>
      <c r="G129" s="21">
        <v>18</v>
      </c>
      <c r="H129" s="12">
        <f>Base[[#This Row],[Valor Unit]]*Base[[#This Row],[QTD]]</f>
        <v>162</v>
      </c>
    </row>
    <row r="130" spans="1:8" ht="15.75" x14ac:dyDescent="0.25">
      <c r="A130" s="23" t="s">
        <v>18</v>
      </c>
      <c r="B130" s="20" t="s">
        <v>147</v>
      </c>
      <c r="C130" s="23" t="s">
        <v>158</v>
      </c>
      <c r="D130" s="23" t="s">
        <v>162</v>
      </c>
      <c r="E130" s="23">
        <v>2</v>
      </c>
      <c r="F130" s="3">
        <v>5</v>
      </c>
      <c r="G130" s="21">
        <v>36</v>
      </c>
      <c r="H130" s="12">
        <f>Base[[#This Row],[Valor Unit]]*Base[[#This Row],[QTD]]</f>
        <v>72</v>
      </c>
    </row>
    <row r="131" spans="1:8" ht="15.75" x14ac:dyDescent="0.25">
      <c r="A131" s="23" t="s">
        <v>18</v>
      </c>
      <c r="B131" s="20" t="s">
        <v>148</v>
      </c>
      <c r="C131" s="23" t="s">
        <v>158</v>
      </c>
      <c r="D131" s="23" t="s">
        <v>162</v>
      </c>
      <c r="E131" s="23">
        <v>4</v>
      </c>
      <c r="F131" s="3">
        <v>5</v>
      </c>
      <c r="G131" s="21">
        <v>36</v>
      </c>
      <c r="H131" s="12">
        <f>Base[[#This Row],[Valor Unit]]*Base[[#This Row],[QTD]]</f>
        <v>144</v>
      </c>
    </row>
    <row r="132" spans="1:8" ht="15.75" x14ac:dyDescent="0.25">
      <c r="A132" s="23" t="s">
        <v>19</v>
      </c>
      <c r="B132" s="20" t="s">
        <v>149</v>
      </c>
      <c r="C132" s="23" t="s">
        <v>161</v>
      </c>
      <c r="D132" s="23" t="s">
        <v>163</v>
      </c>
      <c r="E132" s="23">
        <v>25</v>
      </c>
      <c r="F132" s="3">
        <v>5</v>
      </c>
      <c r="G132" s="21">
        <v>16</v>
      </c>
      <c r="H132" s="12">
        <f>Base[[#This Row],[Valor Unit]]*Base[[#This Row],[QTD]]</f>
        <v>400</v>
      </c>
    </row>
    <row r="133" spans="1:8" ht="15.75" x14ac:dyDescent="0.25">
      <c r="A133" s="23" t="s">
        <v>19</v>
      </c>
      <c r="B133" s="20" t="s">
        <v>150</v>
      </c>
      <c r="C133" s="23" t="s">
        <v>161</v>
      </c>
      <c r="D133" s="23" t="s">
        <v>163</v>
      </c>
      <c r="E133" s="23">
        <v>20</v>
      </c>
      <c r="F133" s="3">
        <v>5</v>
      </c>
      <c r="G133" s="21">
        <v>20</v>
      </c>
      <c r="H133" s="12">
        <f>Base[[#This Row],[Valor Unit]]*Base[[#This Row],[QTD]]</f>
        <v>400</v>
      </c>
    </row>
    <row r="134" spans="1:8" ht="15.75" x14ac:dyDescent="0.25">
      <c r="A134" s="23" t="s">
        <v>19</v>
      </c>
      <c r="B134" s="20" t="s">
        <v>151</v>
      </c>
      <c r="C134" s="23" t="s">
        <v>161</v>
      </c>
      <c r="D134" s="23" t="s">
        <v>163</v>
      </c>
      <c r="E134" s="23">
        <v>15</v>
      </c>
      <c r="F134" s="3">
        <v>5</v>
      </c>
      <c r="G134" s="21">
        <v>27</v>
      </c>
      <c r="H134" s="12">
        <f>Base[[#This Row],[Valor Unit]]*Base[[#This Row],[QTD]]</f>
        <v>405</v>
      </c>
    </row>
    <row r="135" spans="1:8" ht="15.75" x14ac:dyDescent="0.25">
      <c r="A135" s="23" t="s">
        <v>19</v>
      </c>
      <c r="B135" s="20" t="s">
        <v>152</v>
      </c>
      <c r="C135" s="23" t="s">
        <v>161</v>
      </c>
      <c r="D135" s="23" t="s">
        <v>163</v>
      </c>
      <c r="E135" s="23">
        <v>20</v>
      </c>
      <c r="F135" s="3">
        <v>5</v>
      </c>
      <c r="G135" s="21">
        <v>15</v>
      </c>
      <c r="H135" s="12">
        <f>Base[[#This Row],[Valor Unit]]*Base[[#This Row],[QTD]]</f>
        <v>300</v>
      </c>
    </row>
    <row r="136" spans="1:8" ht="15.75" x14ac:dyDescent="0.25">
      <c r="A136" s="23" t="s">
        <v>19</v>
      </c>
      <c r="B136" s="20" t="s">
        <v>153</v>
      </c>
      <c r="C136" s="23" t="s">
        <v>161</v>
      </c>
      <c r="D136" s="23" t="s">
        <v>163</v>
      </c>
      <c r="E136" s="23">
        <v>20</v>
      </c>
      <c r="F136" s="3">
        <v>5</v>
      </c>
      <c r="G136" s="21">
        <v>20</v>
      </c>
      <c r="H136" s="12">
        <f>Base[[#This Row],[Valor Unit]]*Base[[#This Row],[QTD]]</f>
        <v>400</v>
      </c>
    </row>
    <row r="137" spans="1:8" ht="15.75" x14ac:dyDescent="0.25">
      <c r="A137" s="23" t="s">
        <v>19</v>
      </c>
      <c r="B137" s="20" t="s">
        <v>154</v>
      </c>
      <c r="C137" s="23" t="s">
        <v>158</v>
      </c>
      <c r="D137" s="23" t="s">
        <v>163</v>
      </c>
      <c r="E137" s="23">
        <v>25</v>
      </c>
      <c r="F137" s="3">
        <v>5</v>
      </c>
      <c r="G137" s="21">
        <v>10</v>
      </c>
      <c r="H137" s="12">
        <f>Base[[#This Row],[Valor Unit]]*Base[[#This Row],[QTD]]</f>
        <v>250</v>
      </c>
    </row>
    <row r="138" spans="1:8" ht="15.75" x14ac:dyDescent="0.25">
      <c r="A138" s="23" t="s">
        <v>19</v>
      </c>
      <c r="B138" s="20" t="s">
        <v>155</v>
      </c>
      <c r="C138" s="23" t="s">
        <v>158</v>
      </c>
      <c r="D138" s="23" t="s">
        <v>163</v>
      </c>
      <c r="E138" s="23">
        <v>25</v>
      </c>
      <c r="F138" s="3">
        <v>5</v>
      </c>
      <c r="G138" s="21">
        <v>10</v>
      </c>
      <c r="H138" s="12">
        <f>Base[[#This Row],[Valor Unit]]*Base[[#This Row],[QTD]]</f>
        <v>250</v>
      </c>
    </row>
    <row r="139" spans="1:8" ht="15.75" x14ac:dyDescent="0.25">
      <c r="A139" s="23" t="s">
        <v>19</v>
      </c>
      <c r="B139" s="20" t="s">
        <v>156</v>
      </c>
      <c r="C139" s="23" t="s">
        <v>158</v>
      </c>
      <c r="D139" s="23" t="s">
        <v>163</v>
      </c>
      <c r="E139" s="23">
        <v>20</v>
      </c>
      <c r="F139" s="3">
        <v>5</v>
      </c>
      <c r="G139" s="21">
        <v>6</v>
      </c>
      <c r="H139" s="12">
        <f>Base[[#This Row],[Valor Unit]]*Base[[#This Row],[QTD]]</f>
        <v>120</v>
      </c>
    </row>
    <row r="140" spans="1:8" ht="15.75" x14ac:dyDescent="0.25">
      <c r="A140" s="23" t="s">
        <v>19</v>
      </c>
      <c r="B140" s="20" t="s">
        <v>157</v>
      </c>
      <c r="C140" s="23" t="s">
        <v>158</v>
      </c>
      <c r="D140" s="23" t="s">
        <v>163</v>
      </c>
      <c r="E140" s="23">
        <v>20</v>
      </c>
      <c r="F140" s="3">
        <v>5</v>
      </c>
      <c r="G140" s="21">
        <v>7</v>
      </c>
      <c r="H140" s="12">
        <f>Base[[#This Row],[Valor Unit]]*Base[[#This Row],[QTD]]</f>
        <v>140</v>
      </c>
    </row>
  </sheetData>
  <conditionalFormatting sqref="E141:E1048576">
    <cfRule type="expression" dxfId="0" priority="1">
      <formula>$E$2&lt;$F$2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E518-D40B-464B-992A-DCAB14719C8D}">
  <sheetPr>
    <tabColor rgb="FFC00000"/>
  </sheetPr>
  <dimension ref="A1:H5"/>
  <sheetViews>
    <sheetView zoomScale="145" zoomScaleNormal="145" workbookViewId="0">
      <selection activeCell="A6" sqref="A6"/>
    </sheetView>
  </sheetViews>
  <sheetFormatPr defaultRowHeight="15" x14ac:dyDescent="0.25"/>
  <cols>
    <col min="1" max="1" width="18.85546875" customWidth="1"/>
    <col min="2" max="2" width="22.7109375" style="4" customWidth="1"/>
    <col min="3" max="3" width="17.5703125" style="3" customWidth="1"/>
    <col min="4" max="4" width="24.5703125" style="4" customWidth="1"/>
    <col min="5" max="5" width="16.7109375" style="3" customWidth="1"/>
    <col min="6" max="6" width="30.5703125" style="19" customWidth="1"/>
    <col min="7" max="7" width="28.28515625" style="17" customWidth="1"/>
    <col min="8" max="8" width="19.7109375" customWidth="1"/>
  </cols>
  <sheetData>
    <row r="1" spans="1:8" s="3" customFormat="1" x14ac:dyDescent="0.25">
      <c r="A1" s="3" t="s">
        <v>2</v>
      </c>
      <c r="B1" s="6" t="s">
        <v>12</v>
      </c>
      <c r="C1" s="3" t="s">
        <v>9</v>
      </c>
      <c r="D1" s="13" t="s">
        <v>8</v>
      </c>
      <c r="E1" s="3" t="s">
        <v>10</v>
      </c>
      <c r="F1" s="18" t="s">
        <v>13</v>
      </c>
      <c r="G1" s="16" t="s">
        <v>14</v>
      </c>
      <c r="H1" s="3" t="s">
        <v>11</v>
      </c>
    </row>
    <row r="2" spans="1:8" x14ac:dyDescent="0.25">
      <c r="A2" t="s">
        <v>161</v>
      </c>
      <c r="B2" s="4">
        <f>SUMIF(Base[Categoria],A2,Base[Sub-Total])</f>
        <v>4235</v>
      </c>
      <c r="C2" s="6">
        <f>SUMIF(Base[Categoria],DadosCategoria[[#This Row],[Categoria]],Base[QTD])</f>
        <v>149</v>
      </c>
      <c r="D2" s="14">
        <f>DadosCategoria[[#This Row],[Valor total]]/DadosCategoria[[#This Row],[Volume total]]</f>
        <v>28.422818791946309</v>
      </c>
      <c r="E2" s="3" cm="1">
        <f t="array" ref="E2">COUNTA(_xlfn.UNIQUE(_xlfn._xlws.FILTER(Base[Produto], Base[Categoria]=DadosCategoria[[#This Row],[Categoria]])))</f>
        <v>12</v>
      </c>
      <c r="F2" s="16">
        <f>(DadosCategoria[[#This Row],[Volume total]]/SUM(Base[QTD]))</f>
        <v>0.13459801264679314</v>
      </c>
      <c r="G2" s="16">
        <f>DadosCategoria[[#This Row],[Valor total]]/SUM(Base[Sub-Total])</f>
        <v>0.15875098399370244</v>
      </c>
      <c r="H2" s="15">
        <f>DadosCategoria[[#This Row],[Participação em valor no estoque]]/DadosCategoria[[#This Row],[Participação em volume no estoque]]</f>
        <v>1.1794452300740175</v>
      </c>
    </row>
    <row r="3" spans="1:8" x14ac:dyDescent="0.25">
      <c r="A3" t="s">
        <v>158</v>
      </c>
      <c r="B3" s="4">
        <f>SUMIF(Base[Categoria],A3,Base[Sub-Total])</f>
        <v>18947</v>
      </c>
      <c r="C3" s="6">
        <f>SUMIF(Base[Categoria],DadosCategoria[[#This Row],[Categoria]],Base[QTD])</f>
        <v>557</v>
      </c>
      <c r="D3" s="4">
        <f>DadosCategoria[[#This Row],[Valor total]]/DadosCategoria[[#This Row],[Volume total]]</f>
        <v>34.016157989228006</v>
      </c>
      <c r="E3" s="3" cm="1">
        <f t="array" ref="E3">COUNTA(_xlfn.UNIQUE(_xlfn._xlws.FILTER(Base[Produto], Base[Categoria]=DadosCategoria[[#This Row],[Categoria]])))</f>
        <v>87</v>
      </c>
      <c r="F3" s="16">
        <f>(DadosCategoria[[#This Row],[Volume total]]/SUM(Base[QTD]))</f>
        <v>0.50316169828364954</v>
      </c>
      <c r="G3" s="16">
        <f>DadosCategoria[[#This Row],[Valor total]]/SUM(Base[Sub-Total])</f>
        <v>0.71023728305281708</v>
      </c>
      <c r="H3" s="15">
        <f>DadosCategoria[[#This Row],[Participação em valor no estoque]]/DadosCategoria[[#This Row],[Participação em volume no estoque]]</f>
        <v>1.4115487833742701</v>
      </c>
    </row>
    <row r="4" spans="1:8" x14ac:dyDescent="0.25">
      <c r="A4" t="s">
        <v>159</v>
      </c>
      <c r="B4" s="4">
        <f>SUMIF(Base[Categoria],A4,Base[Sub-Total])</f>
        <v>3015</v>
      </c>
      <c r="C4" s="6">
        <f>SUMIF(Base[Categoria],DadosCategoria[[#This Row],[Categoria]],Base[QTD])</f>
        <v>373</v>
      </c>
      <c r="D4" s="4">
        <f>DadosCategoria[[#This Row],[Valor total]]/DadosCategoria[[#This Row],[Volume total]]</f>
        <v>8.0831099195710454</v>
      </c>
      <c r="E4" s="3" cm="1">
        <f t="array" ref="E4">COUNTA(_xlfn.UNIQUE(_xlfn._xlws.FILTER(Base[Produto], Base[Categoria]=DadosCategoria[[#This Row],[Categoria]])))</f>
        <v>34</v>
      </c>
      <c r="F4" s="16">
        <f>(DadosCategoria[[#This Row],[Volume total]]/SUM(Base[QTD]))</f>
        <v>0.33694670280036132</v>
      </c>
      <c r="G4" s="16">
        <f>DadosCategoria[[#This Row],[Valor total]]/SUM(Base[Sub-Total])</f>
        <v>0.11301870525171497</v>
      </c>
      <c r="H4" s="15">
        <f>DadosCategoria[[#This Row],[Participação em valor no estoque]]/DadosCategoria[[#This Row],[Participação em volume no estoque]]</f>
        <v>0.33542012523766346</v>
      </c>
    </row>
    <row r="5" spans="1:8" x14ac:dyDescent="0.25">
      <c r="A5" t="s">
        <v>160</v>
      </c>
      <c r="B5" s="4">
        <f>SUMIF(Base[Categoria],A5,Base[Sub-Total])</f>
        <v>480</v>
      </c>
      <c r="C5" s="6">
        <f>SUMIF(Base[Categoria],DadosCategoria[[#This Row],[Categoria]],Base[QTD])</f>
        <v>28</v>
      </c>
      <c r="D5" s="4">
        <f>DadosCategoria[[#This Row],[Valor total]]/DadosCategoria[[#This Row],[Volume total]]</f>
        <v>17.142857142857142</v>
      </c>
      <c r="E5" s="3" cm="1">
        <f t="array" ref="E5">COUNTA(_xlfn.UNIQUE(_xlfn._xlws.FILTER(Base[Produto], Base[Categoria]=DadosCategoria[[#This Row],[Categoria]])))</f>
        <v>5</v>
      </c>
      <c r="F5" s="16">
        <f>(DadosCategoria[[#This Row],[Volume total]]/SUM(Base[QTD]))</f>
        <v>2.5293586269196026E-2</v>
      </c>
      <c r="G5" s="16">
        <f>DadosCategoria[[#This Row],[Valor total]]/SUM(Base[Sub-Total])</f>
        <v>1.7993027701765568E-2</v>
      </c>
      <c r="H5" s="15">
        <f>DadosCategoria[[#This Row],[Participação em valor no estoque]]/DadosCategoria[[#This Row],[Participação em volume no estoque]]</f>
        <v>0.71136720235194584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7B9F-7B2A-4327-9422-310DCA4392B4}">
  <sheetPr>
    <tabColor theme="3" tint="9.9978637043366805E-2"/>
  </sheetPr>
  <dimension ref="A1:O68"/>
  <sheetViews>
    <sheetView topLeftCell="C1" zoomScaleNormal="100" workbookViewId="0">
      <selection activeCell="I18" sqref="I18"/>
    </sheetView>
  </sheetViews>
  <sheetFormatPr defaultRowHeight="15" x14ac:dyDescent="0.25"/>
  <cols>
    <col min="1" max="1" width="37" style="25" customWidth="1"/>
    <col min="2" max="2" width="14.28515625" style="28" customWidth="1"/>
    <col min="3" max="3" width="38.28515625" style="25" customWidth="1"/>
    <col min="4" max="4" width="13.7109375" style="28" customWidth="1"/>
    <col min="5" max="5" width="2.7109375" style="25" customWidth="1"/>
    <col min="6" max="6" width="39.7109375" style="25" customWidth="1"/>
    <col min="7" max="7" width="19" style="30" customWidth="1"/>
    <col min="8" max="8" width="2.85546875" style="25" customWidth="1"/>
    <col min="9" max="9" width="38.7109375" style="25" customWidth="1"/>
    <col min="10" max="10" width="14" style="30" customWidth="1"/>
    <col min="11" max="11" width="2.5703125" style="25" customWidth="1"/>
    <col min="12" max="12" width="10" style="25" customWidth="1"/>
    <col min="13" max="14" width="9.140625" style="25"/>
    <col min="15" max="15" width="13" style="25" customWidth="1"/>
    <col min="16" max="16384" width="9.140625" style="25"/>
  </cols>
  <sheetData>
    <row r="1" spans="1:15" s="24" customFormat="1" ht="72" customHeight="1" x14ac:dyDescent="0.25">
      <c r="A1" s="32" t="s">
        <v>7</v>
      </c>
      <c r="B1" s="32"/>
      <c r="C1" s="32"/>
      <c r="D1" s="32"/>
      <c r="F1" s="32" t="s">
        <v>16</v>
      </c>
      <c r="G1" s="32"/>
      <c r="H1" s="25"/>
      <c r="I1" s="32" t="s">
        <v>17</v>
      </c>
      <c r="J1" s="32"/>
      <c r="M1" s="25"/>
      <c r="N1" s="25"/>
      <c r="O1" s="26"/>
    </row>
    <row r="2" spans="1:15" ht="46.5" x14ac:dyDescent="0.7">
      <c r="A2" s="36">
        <f>SUM(Base[Sub-Total])</f>
        <v>26677</v>
      </c>
      <c r="B2" s="36"/>
      <c r="C2" s="36"/>
      <c r="D2" s="36"/>
      <c r="F2" s="33">
        <f>SUM(Base[QTD])</f>
        <v>1107</v>
      </c>
      <c r="G2" s="33"/>
      <c r="I2" s="33">
        <f>COUNTA(_xlfn.UNIQUE(Base[Produto]))</f>
        <v>138</v>
      </c>
      <c r="J2" s="33"/>
      <c r="O2" s="27"/>
    </row>
    <row r="3" spans="1:15" x14ac:dyDescent="0.25">
      <c r="G3" s="25"/>
      <c r="J3" s="25"/>
    </row>
    <row r="4" spans="1:15" ht="50.25" customHeight="1" x14ac:dyDescent="0.25">
      <c r="A4" s="37" t="s">
        <v>166</v>
      </c>
      <c r="B4" s="37"/>
      <c r="C4" s="37"/>
      <c r="D4" s="37"/>
      <c r="G4" s="25"/>
      <c r="J4" s="25"/>
    </row>
    <row r="5" spans="1:15" ht="52.5" customHeight="1" x14ac:dyDescent="0.25">
      <c r="A5" s="35" t="s">
        <v>164</v>
      </c>
      <c r="B5" s="35"/>
      <c r="C5" s="34" t="s">
        <v>165</v>
      </c>
      <c r="D5" s="34"/>
      <c r="F5" s="31" t="s">
        <v>168</v>
      </c>
      <c r="G5" s="31"/>
      <c r="I5" s="31" t="s">
        <v>169</v>
      </c>
      <c r="J5" s="31"/>
      <c r="K5" s="28"/>
    </row>
    <row r="6" spans="1:15" ht="18" customHeight="1" x14ac:dyDescent="0.25">
      <c r="A6" s="29" t="s">
        <v>1</v>
      </c>
      <c r="B6" s="29" t="s">
        <v>167</v>
      </c>
      <c r="C6" s="29" t="s">
        <v>1</v>
      </c>
      <c r="D6" s="29" t="s">
        <v>167</v>
      </c>
      <c r="F6" s="29" t="s">
        <v>1</v>
      </c>
      <c r="G6" s="29" t="s">
        <v>170</v>
      </c>
      <c r="I6" s="29" t="s">
        <v>1</v>
      </c>
      <c r="J6" s="29" t="s">
        <v>170</v>
      </c>
    </row>
    <row r="7" spans="1:15" x14ac:dyDescent="0.25">
      <c r="A7" s="25" t="str" cm="1">
        <f t="array" ref="A7:B68">IFERROR(_xlfn._xlws.SORT(
    _xlfn._xlws.FILTER(
        CHOOSE({1,2},Base[Produto],Base[QTD]),
        Base[QTD]&lt;Base[Estoque Mínimo]
    ),
    2,1
),"Nenhum Item")</f>
        <v>Contini-Coq</v>
      </c>
      <c r="B7" s="28">
        <v>1</v>
      </c>
      <c r="C7" s="25" t="str" cm="1">
        <f t="array" ref="C7:D29">IFERROR(_xlfn._xlws.SORT(
    _xlfn._xlws.FILTER(
        CHOOSE({1,2},Base[Produto],Base[QTD]),
        (Base[QTD]&gt;=Base[Estoque Mínimo])*
        (Base[QTD]&lt;=1.5*Base[Estoque Mínimo])
    ),
    2,1
),"Nenhum Item")</f>
        <v>Big_Rolha_Pacoca</v>
      </c>
      <c r="D7" s="28">
        <v>5</v>
      </c>
      <c r="F7" s="25" t="str" cm="1">
        <f t="array" ref="F7:G16">INDEX(_xlfn._xlws.SORT(_xlfn.CHOOSECOLS(Base[],2,7),2,-1),_xlfn.SEQUENCE(10),_xlfn.SEQUENCE(1,2))</f>
        <v>Cedas-Protudo</v>
      </c>
      <c r="G7" s="30">
        <v>250</v>
      </c>
      <c r="I7" s="25" t="str" cm="1">
        <f t="array" ref="I7:J16">INDEX(_xlfn._xlws.SORT(_xlfn.CHOOSECOLS(Base[],2,8),2,-1),_xlfn.SEQUENCE(10),_xlfn.SEQUENCE(1,2))</f>
        <v>Coca_Normal-Refri</v>
      </c>
      <c r="J7" s="30">
        <v>1350</v>
      </c>
    </row>
    <row r="8" spans="1:15" x14ac:dyDescent="0.25">
      <c r="A8" s="25" t="str">
        <v>Fanta_laranja-Lata</v>
      </c>
      <c r="B8" s="28">
        <v>1</v>
      </c>
      <c r="C8" s="25" t="str">
        <v>Bolacha_Maria-Bolacha_Doce</v>
      </c>
      <c r="D8" s="28">
        <v>5</v>
      </c>
      <c r="F8" s="25" t="str">
        <v>OldPar12_whisky</v>
      </c>
      <c r="G8" s="30">
        <v>220</v>
      </c>
      <c r="I8" s="25" t="str">
        <v xml:space="preserve">Natu_Nobilis-Whisky </v>
      </c>
      <c r="J8" s="30">
        <v>990</v>
      </c>
    </row>
    <row r="9" spans="1:15" x14ac:dyDescent="0.25">
      <c r="A9" s="25" t="str">
        <v>Geleia_de_Banana-Doce</v>
      </c>
      <c r="B9" s="28">
        <v>1</v>
      </c>
      <c r="C9" s="25" t="str">
        <v>Amaciante_Boa-Amaciante</v>
      </c>
      <c r="D9" s="28">
        <v>5</v>
      </c>
      <c r="F9" s="25" t="str">
        <v>Jose_Cuervo-tequlaOuro</v>
      </c>
      <c r="G9" s="30">
        <v>190</v>
      </c>
      <c r="I9" s="25" t="str">
        <v>Coca_Zerro-Refri</v>
      </c>
      <c r="J9" s="30">
        <v>900</v>
      </c>
    </row>
    <row r="10" spans="1:15" x14ac:dyDescent="0.25">
      <c r="A10" s="25" t="str">
        <v>Jose_Cuervo-tequlaEspecial</v>
      </c>
      <c r="B10" s="28">
        <v>1</v>
      </c>
      <c r="C10" s="25" t="str">
        <v>QBoa-AguaSAnitaria</v>
      </c>
      <c r="D10" s="28">
        <v>5</v>
      </c>
      <c r="F10" s="25" t="str">
        <v>Mancao Maronba</v>
      </c>
      <c r="G10" s="30">
        <v>150</v>
      </c>
      <c r="I10" s="25" t="str">
        <v>Cedas-Protudo</v>
      </c>
      <c r="J10" s="30">
        <v>750</v>
      </c>
    </row>
    <row r="11" spans="1:15" x14ac:dyDescent="0.25">
      <c r="A11" s="25" t="str">
        <v>Jose_Cuervo-tequlaOuro</v>
      </c>
      <c r="B11" s="28">
        <v>1</v>
      </c>
      <c r="C11" s="25" t="str">
        <v>Sal_Cruzeiro-Sal</v>
      </c>
      <c r="D11" s="28">
        <v>5</v>
      </c>
      <c r="F11" s="25" t="str">
        <v>Esqueiro</v>
      </c>
      <c r="G11" s="30">
        <v>150</v>
      </c>
      <c r="I11" s="25" t="str">
        <v>Agua_15l-Agua</v>
      </c>
      <c r="J11" s="30">
        <v>600</v>
      </c>
    </row>
    <row r="12" spans="1:15" x14ac:dyDescent="0.25">
      <c r="A12" s="25" t="str">
        <v>OldEight_Bluewhisky</v>
      </c>
      <c r="B12" s="28">
        <v>1</v>
      </c>
      <c r="C12" s="25" t="str">
        <v>Rosquinhas_Bolacha</v>
      </c>
      <c r="D12" s="28">
        <v>5</v>
      </c>
      <c r="F12" s="25" t="str">
        <v>Torrone_Amendoim-Torrone</v>
      </c>
      <c r="G12" s="30">
        <v>125</v>
      </c>
      <c r="I12" s="25" t="str">
        <v>Caixa_de_Original</v>
      </c>
      <c r="J12" s="30">
        <v>560</v>
      </c>
    </row>
    <row r="13" spans="1:15" x14ac:dyDescent="0.25">
      <c r="A13" s="25" t="str">
        <v>OldPar12_whisky</v>
      </c>
      <c r="B13" s="28">
        <v>1</v>
      </c>
      <c r="C13" s="25" t="str">
        <v>TemTudo-coqui</v>
      </c>
      <c r="D13" s="28">
        <v>5</v>
      </c>
      <c r="F13" s="25" t="str">
        <v>Aluminio-Narguile</v>
      </c>
      <c r="G13" s="30">
        <v>125</v>
      </c>
      <c r="I13" s="25" t="str">
        <v>Caixa_de_Amistel-Cerveja</v>
      </c>
      <c r="J13" s="30">
        <v>550</v>
      </c>
    </row>
    <row r="14" spans="1:15" x14ac:dyDescent="0.25">
      <c r="A14" s="25" t="str">
        <v>Roots_Strauberry-Gin</v>
      </c>
      <c r="B14" s="28">
        <v>1</v>
      </c>
      <c r="C14" s="25" t="str">
        <v>Vinho_Jurupinga-Suave</v>
      </c>
      <c r="D14" s="28">
        <v>5</v>
      </c>
      <c r="F14" s="25" t="str">
        <v>Jose_Cuervo-tequlaEspecial</v>
      </c>
      <c r="G14" s="30">
        <v>120</v>
      </c>
      <c r="I14" s="25" t="str">
        <v>Walesa-Vodk</v>
      </c>
      <c r="J14" s="30">
        <v>480</v>
      </c>
    </row>
    <row r="15" spans="1:15" x14ac:dyDescent="0.25">
      <c r="A15" s="25" t="str">
        <v>Roots_Watermedar-Gin</v>
      </c>
      <c r="B15" s="28">
        <v>1</v>
      </c>
      <c r="C15" s="25" t="str">
        <v>BacardiBigApple-rum</v>
      </c>
      <c r="D15" s="28">
        <v>6</v>
      </c>
      <c r="F15" s="25" t="str">
        <v>WhiteHorse-whisk</v>
      </c>
      <c r="G15" s="30">
        <v>120</v>
      </c>
      <c r="I15" s="25" t="str">
        <v>Skarloff_vodika</v>
      </c>
      <c r="J15" s="30">
        <v>450</v>
      </c>
    </row>
    <row r="16" spans="1:15" x14ac:dyDescent="0.25">
      <c r="A16" s="25" t="str">
        <v>BatidaAmenduin_Barkam-Coquitel</v>
      </c>
      <c r="B16" s="28">
        <v>1</v>
      </c>
      <c r="C16" s="25" t="str">
        <v>Caixa_de_Brahma-Cerveja</v>
      </c>
      <c r="D16" s="28">
        <v>6</v>
      </c>
      <c r="F16" s="25" t="str">
        <v>Geleia-doce</v>
      </c>
      <c r="G16" s="30">
        <v>102</v>
      </c>
      <c r="I16" s="25" t="str">
        <v>Heineken_log-Cerveja</v>
      </c>
      <c r="J16" s="30">
        <v>432</v>
      </c>
    </row>
    <row r="17" spans="1:4" x14ac:dyDescent="0.25">
      <c r="A17" s="25" t="str">
        <v>BatidaCoco_Barkam-Coquitel</v>
      </c>
      <c r="B17" s="28">
        <v>1</v>
      </c>
      <c r="C17" s="25" t="str">
        <v>Caixa_de_Brahma_Dublo_Malte-Cerveja</v>
      </c>
      <c r="D17" s="28">
        <v>6</v>
      </c>
    </row>
    <row r="18" spans="1:4" x14ac:dyDescent="0.25">
      <c r="A18" s="25" t="str">
        <v>Intencion-Gin</v>
      </c>
      <c r="B18" s="28">
        <v>1</v>
      </c>
      <c r="C18" s="25" t="str">
        <v>Dreher-Destilado</v>
      </c>
      <c r="D18" s="28">
        <v>6</v>
      </c>
    </row>
    <row r="19" spans="1:4" x14ac:dyDescent="0.25">
      <c r="A19" s="25" t="str">
        <v>Stok-Curaça-Blue-Licor</v>
      </c>
      <c r="B19" s="28">
        <v>1</v>
      </c>
      <c r="C19" s="25" t="str">
        <v>Jamel-Destilado</v>
      </c>
      <c r="D19" s="28">
        <v>6</v>
      </c>
    </row>
    <row r="20" spans="1:4" x14ac:dyDescent="0.25">
      <c r="A20" s="25" t="str">
        <v>Stok-CuraçarKiwi-Licor</v>
      </c>
      <c r="B20" s="28">
        <v>1</v>
      </c>
      <c r="C20" s="25" t="str">
        <v>Kislas-puras</v>
      </c>
      <c r="D20" s="28">
        <v>6</v>
      </c>
    </row>
    <row r="21" spans="1:4" x14ac:dyDescent="0.25">
      <c r="A21" s="25" t="str">
        <v>Torrone_Amendoim-Torrone</v>
      </c>
      <c r="B21" s="28">
        <v>1</v>
      </c>
      <c r="C21" s="25" t="str">
        <v>Smirnoff-Vodka</v>
      </c>
      <c r="D21" s="28">
        <v>6</v>
      </c>
    </row>
    <row r="22" spans="1:4" x14ac:dyDescent="0.25">
      <c r="A22" s="25" t="str">
        <v>Bara_de_Sabão-Limpeza</v>
      </c>
      <c r="B22" s="28">
        <v>1</v>
      </c>
      <c r="C22" s="25" t="str">
        <v>Molho_de_Tomante-Molho</v>
      </c>
      <c r="D22" s="28">
        <v>6</v>
      </c>
    </row>
    <row r="23" spans="1:4" x14ac:dyDescent="0.25">
      <c r="A23" s="25" t="str">
        <v>Cynar-ervas</v>
      </c>
      <c r="B23" s="28">
        <v>1</v>
      </c>
      <c r="C23" s="25" t="str">
        <v>Heineken_log-Cerveja</v>
      </c>
      <c r="D23" s="28">
        <v>6</v>
      </c>
    </row>
    <row r="24" spans="1:4" x14ac:dyDescent="0.25">
      <c r="A24" s="25" t="str">
        <v>Asa_Blanca-ervas</v>
      </c>
      <c r="B24" s="28">
        <v>1</v>
      </c>
      <c r="C24" s="25" t="str">
        <v>Sol_log-Cerveja</v>
      </c>
      <c r="D24" s="28">
        <v>6</v>
      </c>
    </row>
    <row r="25" spans="1:4" x14ac:dyDescent="0.25">
      <c r="A25" s="25" t="str">
        <v>Rosberg-Ervas</v>
      </c>
      <c r="B25" s="28">
        <v>1</v>
      </c>
      <c r="C25" s="25" t="str">
        <v>Ice-Drink</v>
      </c>
      <c r="D25" s="28">
        <v>6</v>
      </c>
    </row>
    <row r="26" spans="1:4" x14ac:dyDescent="0.25">
      <c r="A26" s="25" t="str">
        <v>Geleia-doce</v>
      </c>
      <c r="B26" s="28">
        <v>2</v>
      </c>
      <c r="C26" s="25" t="str">
        <v>Barcardi_Oro-rum</v>
      </c>
      <c r="D26" s="28">
        <v>7</v>
      </c>
    </row>
    <row r="27" spans="1:4" x14ac:dyDescent="0.25">
      <c r="A27" s="25" t="str">
        <v>Mancao Maronba</v>
      </c>
      <c r="B27" s="28">
        <v>2</v>
      </c>
      <c r="C27" s="25" t="str">
        <v>Pé_de_Moleque-Doce</v>
      </c>
      <c r="D27" s="28">
        <v>7</v>
      </c>
    </row>
    <row r="28" spans="1:4" x14ac:dyDescent="0.25">
      <c r="A28" s="25" t="str">
        <v>Mourisca-Rum</v>
      </c>
      <c r="B28" s="28">
        <v>2</v>
      </c>
      <c r="C28" s="25" t="str">
        <v>Copos_de_Cristal-Virdro</v>
      </c>
      <c r="D28" s="28">
        <v>7</v>
      </c>
    </row>
    <row r="29" spans="1:4" x14ac:dyDescent="0.25">
      <c r="A29" s="25" t="str">
        <v>OldEight_Goodwhisky</v>
      </c>
      <c r="B29" s="28">
        <v>2</v>
      </c>
      <c r="C29" s="25" t="str">
        <v>Agua</v>
      </c>
      <c r="D29" s="28">
        <v>7</v>
      </c>
    </row>
    <row r="30" spans="1:4" x14ac:dyDescent="0.25">
      <c r="A30" s="25" t="str">
        <v>OldEight-Whisky</v>
      </c>
      <c r="B30" s="28">
        <v>2</v>
      </c>
    </row>
    <row r="31" spans="1:4" x14ac:dyDescent="0.25">
      <c r="A31" s="25" t="str">
        <v xml:space="preserve">Pé de moca </v>
      </c>
      <c r="B31" s="28">
        <v>2</v>
      </c>
    </row>
    <row r="32" spans="1:4" x14ac:dyDescent="0.25">
      <c r="A32" s="25" t="str">
        <v>EternityPassiorgruit-Vodika</v>
      </c>
      <c r="B32" s="28">
        <v>2</v>
      </c>
    </row>
    <row r="33" spans="1:2" x14ac:dyDescent="0.25">
      <c r="A33" s="25" t="str">
        <v>Stok-CuraçarRed-Licor</v>
      </c>
      <c r="B33" s="28">
        <v>2</v>
      </c>
    </row>
    <row r="34" spans="1:2" x14ac:dyDescent="0.25">
      <c r="A34" s="25" t="str">
        <v>Champanhe_MoscatelRosé-Espumante</v>
      </c>
      <c r="B34" s="28">
        <v>2</v>
      </c>
    </row>
    <row r="35" spans="1:2" x14ac:dyDescent="0.25">
      <c r="A35" s="25" t="str">
        <v>Champanhe_Celebrante-Espumante</v>
      </c>
      <c r="B35" s="28">
        <v>2</v>
      </c>
    </row>
    <row r="36" spans="1:2" x14ac:dyDescent="0.25">
      <c r="A36" s="25" t="str">
        <v>BatidaAmenduin_Baianinha-Coquitel</v>
      </c>
      <c r="B36" s="28">
        <v>2</v>
      </c>
    </row>
    <row r="37" spans="1:2" x14ac:dyDescent="0.25">
      <c r="A37" s="25" t="str">
        <v>Carvão_Chacale-Narguilé</v>
      </c>
      <c r="B37" s="28">
        <v>2</v>
      </c>
    </row>
    <row r="38" spans="1:2" x14ac:dyDescent="0.25">
      <c r="A38" s="25" t="str">
        <v>Carvão_CocoSupreme-Narguilé</v>
      </c>
      <c r="B38" s="28">
        <v>2</v>
      </c>
    </row>
    <row r="39" spans="1:2" x14ac:dyDescent="0.25">
      <c r="A39" s="25" t="str">
        <v>Pipoteca_Presunto-Chips</v>
      </c>
      <c r="B39" s="28">
        <v>2</v>
      </c>
    </row>
    <row r="40" spans="1:2" x14ac:dyDescent="0.25">
      <c r="A40" s="25" t="str">
        <v>Pipoteca_Pizza-Chips</v>
      </c>
      <c r="B40" s="28">
        <v>2</v>
      </c>
    </row>
    <row r="41" spans="1:2" x14ac:dyDescent="0.25">
      <c r="A41" s="25" t="str">
        <v>Pipoteca_Cebola-Chips</v>
      </c>
      <c r="B41" s="28">
        <v>2</v>
      </c>
    </row>
    <row r="42" spans="1:2" x14ac:dyDescent="0.25">
      <c r="A42" s="25" t="str">
        <v>Pipoteca_Metega-Chips</v>
      </c>
      <c r="B42" s="28">
        <v>2</v>
      </c>
    </row>
    <row r="43" spans="1:2" x14ac:dyDescent="0.25">
      <c r="A43" s="25" t="str">
        <v>Fine_Dentadura-Balas</v>
      </c>
      <c r="B43" s="28">
        <v>2</v>
      </c>
    </row>
    <row r="44" spans="1:2" x14ac:dyDescent="0.25">
      <c r="A44" s="25" t="str">
        <v>Fini_Minhocas-Balas</v>
      </c>
      <c r="B44" s="28">
        <v>2</v>
      </c>
    </row>
    <row r="45" spans="1:2" x14ac:dyDescent="0.25">
      <c r="A45" s="25" t="str">
        <v>Fini_Beijinhos-Balas</v>
      </c>
      <c r="B45" s="28">
        <v>2</v>
      </c>
    </row>
    <row r="46" spans="1:2" x14ac:dyDescent="0.25">
      <c r="A46" s="25" t="str">
        <v>Cine_Franbuesa-Refri</v>
      </c>
      <c r="B46" s="28">
        <v>2</v>
      </c>
    </row>
    <row r="47" spans="1:2" x14ac:dyDescent="0.25">
      <c r="A47" s="25" t="str">
        <v>Catuaba_Selvagem-Ervas</v>
      </c>
      <c r="B47" s="28">
        <v>2</v>
      </c>
    </row>
    <row r="48" spans="1:2" x14ac:dyDescent="0.25">
      <c r="A48" s="25" t="str">
        <v>Juru_Catu-Ervas</v>
      </c>
      <c r="B48" s="28">
        <v>2</v>
      </c>
    </row>
    <row r="49" spans="1:2" x14ac:dyDescent="0.25">
      <c r="A49" s="25" t="str">
        <v>Catuabom-Ervas</v>
      </c>
      <c r="B49" s="28">
        <v>2</v>
      </c>
    </row>
    <row r="50" spans="1:2" x14ac:dyDescent="0.25">
      <c r="A50" s="25" t="str">
        <v>Vinho_delRei-Seco</v>
      </c>
      <c r="B50" s="28">
        <v>2</v>
      </c>
    </row>
    <row r="51" spans="1:2" x14ac:dyDescent="0.25">
      <c r="A51" s="25" t="str">
        <v>Corona-Cerveja</v>
      </c>
      <c r="B51" s="28">
        <v>2</v>
      </c>
    </row>
    <row r="52" spans="1:2" x14ac:dyDescent="0.25">
      <c r="A52" s="25" t="str">
        <v>Bad_log-Cerveja</v>
      </c>
      <c r="B52" s="28">
        <v>2</v>
      </c>
    </row>
    <row r="53" spans="1:2" x14ac:dyDescent="0.25">
      <c r="A53" s="25" t="str">
        <v>Esqueiro</v>
      </c>
      <c r="B53" s="28">
        <v>2</v>
      </c>
    </row>
    <row r="54" spans="1:2" x14ac:dyDescent="0.25">
      <c r="A54" s="25" t="str">
        <v>Fanta_uva_lata-Refri</v>
      </c>
      <c r="B54" s="28">
        <v>2</v>
      </c>
    </row>
    <row r="55" spans="1:2" x14ac:dyDescent="0.25">
      <c r="A55" s="25" t="str">
        <v>Campari_Milano-Ervas</v>
      </c>
      <c r="B55" s="28">
        <v>3</v>
      </c>
    </row>
    <row r="56" spans="1:2" x14ac:dyDescent="0.25">
      <c r="A56" s="25" t="str">
        <v>Cine_Abacaxi-Refri</v>
      </c>
      <c r="B56" s="28">
        <v>3</v>
      </c>
    </row>
    <row r="57" spans="1:2" x14ac:dyDescent="0.25">
      <c r="A57" s="25" t="str">
        <v>Cine_Laranja-Refri</v>
      </c>
      <c r="B57" s="28">
        <v>3</v>
      </c>
    </row>
    <row r="58" spans="1:2" x14ac:dyDescent="0.25">
      <c r="A58" s="25" t="str">
        <v>Cine_Gurana-Refri</v>
      </c>
      <c r="B58" s="28">
        <v>3</v>
      </c>
    </row>
    <row r="59" spans="1:2" x14ac:dyDescent="0.25">
      <c r="A59" s="25" t="str">
        <v>Show_gurana-Refri</v>
      </c>
      <c r="B59" s="28">
        <v>3</v>
      </c>
    </row>
    <row r="60" spans="1:2" x14ac:dyDescent="0.25">
      <c r="A60" s="25" t="str">
        <v>WhiteHorse-whisk</v>
      </c>
      <c r="B60" s="28">
        <v>3</v>
      </c>
    </row>
    <row r="61" spans="1:2" x14ac:dyDescent="0.25">
      <c r="A61" s="25" t="str">
        <v>Aluminio-Narguile</v>
      </c>
      <c r="B61" s="28">
        <v>3</v>
      </c>
    </row>
    <row r="62" spans="1:2" x14ac:dyDescent="0.25">
      <c r="A62" s="25" t="str">
        <v>Cedas-Protudo</v>
      </c>
      <c r="B62" s="28">
        <v>3</v>
      </c>
    </row>
    <row r="63" spans="1:2" x14ac:dyDescent="0.25">
      <c r="A63" s="25" t="str">
        <v>Moster-Energetico</v>
      </c>
      <c r="B63" s="28">
        <v>3</v>
      </c>
    </row>
    <row r="64" spans="1:2" x14ac:dyDescent="0.25">
      <c r="A64" s="25" t="str">
        <v>Gp-Wisky</v>
      </c>
      <c r="B64" s="28">
        <v>4</v>
      </c>
    </row>
    <row r="65" spans="1:2" x14ac:dyDescent="0.25">
      <c r="A65" s="25" t="str">
        <v>Skyy-Vodk</v>
      </c>
      <c r="B65" s="28">
        <v>4</v>
      </c>
    </row>
    <row r="66" spans="1:2" x14ac:dyDescent="0.25">
      <c r="A66" s="25" t="str">
        <v>Sprite_2l-Refri</v>
      </c>
      <c r="B66" s="28">
        <v>4</v>
      </c>
    </row>
    <row r="67" spans="1:2" x14ac:dyDescent="0.25">
      <c r="A67" s="25" t="str">
        <v>Bartenike_Steinhaeger-Coquitel</v>
      </c>
      <c r="B67" s="28">
        <v>4</v>
      </c>
    </row>
    <row r="68" spans="1:2" x14ac:dyDescent="0.25">
      <c r="A68" s="25" t="str">
        <v>Coca_lata-Refri</v>
      </c>
      <c r="B68" s="28">
        <v>4</v>
      </c>
    </row>
  </sheetData>
  <mergeCells count="11">
    <mergeCell ref="C5:D5"/>
    <mergeCell ref="A5:B5"/>
    <mergeCell ref="A1:D1"/>
    <mergeCell ref="A2:D2"/>
    <mergeCell ref="A4:D4"/>
    <mergeCell ref="F5:G5"/>
    <mergeCell ref="I5:J5"/>
    <mergeCell ref="F1:G1"/>
    <mergeCell ref="F2:G2"/>
    <mergeCell ref="I1:J1"/>
    <mergeCell ref="I2:J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DADOS CATEGORIAS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Becker</dc:creator>
  <cp:lastModifiedBy>Edward Becker</cp:lastModifiedBy>
  <dcterms:created xsi:type="dcterms:W3CDTF">2026-03-16T04:40:18Z</dcterms:created>
  <dcterms:modified xsi:type="dcterms:W3CDTF">2026-03-25T12:13:39Z</dcterms:modified>
</cp:coreProperties>
</file>